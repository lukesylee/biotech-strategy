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creener" sheetId="1" state="visible" r:id="rId3"/>
    <sheet name="🧬 Pipeline DB" sheetId="2" state="visible" r:id="rId4"/>
    <sheet name="💰 Financials DB" sheetId="3" state="visible" r:id="rId5"/>
    <sheet name="📅 Catalyst Calendar" sheetId="4" state="visible" r:id="rId6"/>
    <sheet name="📖 Instructions" sheetId="5" state="visible" r:id="rId7"/>
  </sheets>
  <definedNames>
    <definedName function="false" hidden="true" localSheetId="2" name="_xlnm._FilterDatabase" vbProcedure="false">'💰 Financials DB'!$A$5:$P$5</definedName>
    <definedName function="false" hidden="true" localSheetId="3" name="_xlnm._FilterDatabase" vbProcedure="false">'📅 Catalyst Calendar'!$A$5:$L$5</definedName>
    <definedName function="false" hidden="true" localSheetId="0" name="_xlnm._FilterDatabase" vbProcedure="false">'📊 Screener'!$A$6:$T$6</definedName>
    <definedName function="false" hidden="true" localSheetId="1" name="_xlnm._FilterDatabase" vbProcedure="false">'🧬 Pipeline DB'!$A$5:$R$5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<sst xmlns="http://schemas.openxmlformats.org/spreadsheetml/2006/main" count="1093" uniqueCount="459">
  <si>
    <t xml:space="preserve">BIOTECH STOCK SCREENER</t>
  </si>
  <si>
    <t xml:space="preserve">Investment Research  |  Oncology · Rare Disease · Immunology · CNS · Cardiometabolic  |  All Modalities  |  NASDAQ · NYSE · NYSE American</t>
  </si>
  <si>
    <t xml:space="preserve">Last Updated: 14 Mar 2026     |     Data Sources: SEC EDGAR · ClinicalTrials.gov · Company IR · yFinance</t>
  </si>
  <si>
    <t xml:space="preserve">Ticker</t>
  </si>
  <si>
    <t xml:space="preserve">Company Name</t>
  </si>
  <si>
    <t xml:space="preserve">Exchange</t>
  </si>
  <si>
    <t xml:space="preserve">Therapy Area</t>
  </si>
  <si>
    <t xml:space="preserve">Sub-Indication</t>
  </si>
  <si>
    <t xml:space="preserve">Modality</t>
  </si>
  <si>
    <t xml:space="preserve">Lead Asset</t>
  </si>
  <si>
    <t xml:space="preserve">Dev Stage</t>
  </si>
  <si>
    <t xml:space="preserve">Next Catalyst</t>
  </si>
  <si>
    <t xml:space="preserve">Catalyst Type</t>
  </si>
  <si>
    <t xml:space="preserve">Partners / Collab</t>
  </si>
  <si>
    <t xml:space="preserve">Mkt Cap ($M)</t>
  </si>
  <si>
    <t xml:space="preserve">Cash ($M)</t>
  </si>
  <si>
    <t xml:space="preserve">Qtrly Burn ($M)</t>
  </si>
  <si>
    <t xml:space="preserve">Runway (Qtrs)</t>
  </si>
  <si>
    <t xml:space="preserve">Runway Flag</t>
  </si>
  <si>
    <t xml:space="preserve">EV ($M)</t>
  </si>
  <si>
    <t xml:space="preserve">52W High ($)</t>
  </si>
  <si>
    <t xml:space="preserve">52W Low ($)</t>
  </si>
  <si>
    <t xml:space="preserve">Notes / Thesis</t>
  </si>
  <si>
    <t xml:space="preserve">MRNA</t>
  </si>
  <si>
    <t xml:space="preserve">Moderna</t>
  </si>
  <si>
    <t xml:space="preserve">NASDAQ</t>
  </si>
  <si>
    <t xml:space="preserve">Oncology</t>
  </si>
  <si>
    <t xml:space="preserve">NSCLC / Melanoma</t>
  </si>
  <si>
    <t xml:space="preserve">RNA (mRNA)</t>
  </si>
  <si>
    <t xml:space="preserve">mRNA-4157 (V940)</t>
  </si>
  <si>
    <t xml:space="preserve">Phase 3</t>
  </si>
  <si>
    <t xml:space="preserve">H2 2025</t>
  </si>
  <si>
    <t xml:space="preserve">Phase 3 Readout</t>
  </si>
  <si>
    <t xml:space="preserve">Merck (MSD)</t>
  </si>
  <si>
    <t xml:space="preserve">mRNA personalised cancer vaccine; BLA expected 2025 pending P3 data</t>
  </si>
  <si>
    <t xml:space="preserve">NKTR</t>
  </si>
  <si>
    <t xml:space="preserve">Nektar Therapeutics</t>
  </si>
  <si>
    <t xml:space="preserve">Multiple Tumour Types</t>
  </si>
  <si>
    <t xml:space="preserve">Protein / Peptide</t>
  </si>
  <si>
    <t xml:space="preserve">NKTR-255</t>
  </si>
  <si>
    <t xml:space="preserve">Phase 2</t>
  </si>
  <si>
    <t xml:space="preserve">Q3 2025</t>
  </si>
  <si>
    <t xml:space="preserve">Phase 2 Data</t>
  </si>
  <si>
    <t xml:space="preserve">None</t>
  </si>
  <si>
    <t xml:space="preserve">IL-15 agonist; significant cash burn risk; watch runway closely</t>
  </si>
  <si>
    <t xml:space="preserve">RCUS</t>
  </si>
  <si>
    <t xml:space="preserve">Arcus Biosciences</t>
  </si>
  <si>
    <t xml:space="preserve">NYSE</t>
  </si>
  <si>
    <t xml:space="preserve">NSCLC / HCC</t>
  </si>
  <si>
    <t xml:space="preserve">Small Molecule</t>
  </si>
  <si>
    <t xml:space="preserve">Domvanalimab</t>
  </si>
  <si>
    <t xml:space="preserve">Q4 2025</t>
  </si>
  <si>
    <t xml:space="preserve">Phase 3 Interim</t>
  </si>
  <si>
    <t xml:space="preserve">AstraZeneca / Gilead</t>
  </si>
  <si>
    <t xml:space="preserve">Anti-TIGIT mAb + zimberelimab combo; well-partnered</t>
  </si>
  <si>
    <t xml:space="preserve">TGTX</t>
  </si>
  <si>
    <t xml:space="preserve">TG Therapeutics</t>
  </si>
  <si>
    <t xml:space="preserve">B-cell Malignancies</t>
  </si>
  <si>
    <t xml:space="preserve">Monoclonal Ab (mAb)</t>
  </si>
  <si>
    <t xml:space="preserve">Ublituximab</t>
  </si>
  <si>
    <t xml:space="preserve">Approved</t>
  </si>
  <si>
    <t xml:space="preserve">2025</t>
  </si>
  <si>
    <t xml:space="preserve">Commercial Launch</t>
  </si>
  <si>
    <t xml:space="preserve">Anti-CD20; BRIUMVI approved MS + CLL; entering commercial ramp</t>
  </si>
  <si>
    <t xml:space="preserve">IMVT</t>
  </si>
  <si>
    <t xml:space="preserve">Immunovant</t>
  </si>
  <si>
    <t xml:space="preserve">Oncology/Immuno</t>
  </si>
  <si>
    <t xml:space="preserve">Thyroid Eye Disease</t>
  </si>
  <si>
    <t xml:space="preserve">Batoclimab</t>
  </si>
  <si>
    <t xml:space="preserve">Q1 2026</t>
  </si>
  <si>
    <t xml:space="preserve">Roivant Sciences</t>
  </si>
  <si>
    <t xml:space="preserve">Anti-FcRn; broad autoimmune pipeline; well-capitalised</t>
  </si>
  <si>
    <t xml:space="preserve">KYMR</t>
  </si>
  <si>
    <t xml:space="preserve">Kymera Therapeutics</t>
  </si>
  <si>
    <t xml:space="preserve">Haematologic Cancers</t>
  </si>
  <si>
    <t xml:space="preserve">KT-413</t>
  </si>
  <si>
    <t xml:space="preserve">Phase 1</t>
  </si>
  <si>
    <t xml:space="preserve">H1 2025</t>
  </si>
  <si>
    <t xml:space="preserve">Phase 1 Data</t>
  </si>
  <si>
    <t xml:space="preserve">Sanofi</t>
  </si>
  <si>
    <t xml:space="preserve">Targeted protein degrader (IRAK4); Sanofi partnership validates platform</t>
  </si>
  <si>
    <t xml:space="preserve">RVMD</t>
  </si>
  <si>
    <t xml:space="preserve">Revolution Medicines</t>
  </si>
  <si>
    <t xml:space="preserve">KRAS-mutant CRC/PDAC</t>
  </si>
  <si>
    <t xml:space="preserve">RMC-6236</t>
  </si>
  <si>
    <t xml:space="preserve">Pan-KRAS inhibitor; highly differentiated; potential best-in-class</t>
  </si>
  <si>
    <t xml:space="preserve">GRPH</t>
  </si>
  <si>
    <t xml:space="preserve">Graphite Bio</t>
  </si>
  <si>
    <t xml:space="preserve">Sickle Cell Disease</t>
  </si>
  <si>
    <t xml:space="preserve">Gene Therapy</t>
  </si>
  <si>
    <t xml:space="preserve">nula-cel</t>
  </si>
  <si>
    <t xml:space="preserve">Phase 1/2</t>
  </si>
  <si>
    <t xml:space="preserve">Updated P1 Data</t>
  </si>
  <si>
    <t xml:space="preserve">Gene editing (HDR); pipeline restart after clinical hold</t>
  </si>
  <si>
    <t xml:space="preserve">BEAM</t>
  </si>
  <si>
    <t xml:space="preserve">Beam Therapeutics</t>
  </si>
  <si>
    <t xml:space="preserve">Rare Disease</t>
  </si>
  <si>
    <t xml:space="preserve">Sickle Cell / MPS-I</t>
  </si>
  <si>
    <t xml:space="preserve">Gene Editing</t>
  </si>
  <si>
    <t xml:space="preserve">BEAM-101</t>
  </si>
  <si>
    <t xml:space="preserve">Q2 2025</t>
  </si>
  <si>
    <t xml:space="preserve">Pfizer (licence)</t>
  </si>
  <si>
    <t xml:space="preserve">Base editing pioneer; Pfizer deal validates technology</t>
  </si>
  <si>
    <t xml:space="preserve">ARWR</t>
  </si>
  <si>
    <t xml:space="preserve">Arrowhead Pharmaceuticals</t>
  </si>
  <si>
    <t xml:space="preserve">ATTR / HBV / NASH</t>
  </si>
  <si>
    <t xml:space="preserve">RNA (siRNA)</t>
  </si>
  <si>
    <t xml:space="preserve">Plozasiran</t>
  </si>
  <si>
    <t xml:space="preserve">J&amp;J / GSK</t>
  </si>
  <si>
    <t xml:space="preserve">Well-diversified RNA pipeline; multiple late-stage assets</t>
  </si>
  <si>
    <t xml:space="preserve">FOLD</t>
  </si>
  <si>
    <t xml:space="preserve">Amicus Therapeutics</t>
  </si>
  <si>
    <t xml:space="preserve">Fabry / Pompe Disease</t>
  </si>
  <si>
    <t xml:space="preserve">AT-GAA (Pombiliti)</t>
  </si>
  <si>
    <t xml:space="preserve">Commercial Uptake</t>
  </si>
  <si>
    <t xml:space="preserve">Two approved enzyme replacement therapies; watch cash runway</t>
  </si>
  <si>
    <t xml:space="preserve">KRYS</t>
  </si>
  <si>
    <t xml:space="preserve">Krystal Biotech</t>
  </si>
  <si>
    <t xml:space="preserve">RDEB / TIL</t>
  </si>
  <si>
    <t xml:space="preserve">Vyjuvek</t>
  </si>
  <si>
    <t xml:space="preserve">Revenue Growth</t>
  </si>
  <si>
    <t xml:space="preserve">CF+</t>
  </si>
  <si>
    <t xml:space="preserve">✅ CF+</t>
  </si>
  <si>
    <t xml:space="preserve">Only approved redosable gene therapy; cashflow positive</t>
  </si>
  <si>
    <t xml:space="preserve">RARE</t>
  </si>
  <si>
    <t xml:space="preserve">Ultragenyx Pharmaceutical</t>
  </si>
  <si>
    <t xml:space="preserve">Multiple Rare Diseases</t>
  </si>
  <si>
    <t xml:space="preserve">DTX401</t>
  </si>
  <si>
    <t xml:space="preserve">H1 2026</t>
  </si>
  <si>
    <t xml:space="preserve">Broad rare disease platform; multiple late-stage programmes</t>
  </si>
  <si>
    <t xml:space="preserve">RYTM</t>
  </si>
  <si>
    <t xml:space="preserve">Rhythm Pharmaceuticals</t>
  </si>
  <si>
    <t xml:space="preserve">Genetic Obesity</t>
  </si>
  <si>
    <t xml:space="preserve">Imcivree</t>
  </si>
  <si>
    <t xml:space="preserve">Label Expansion</t>
  </si>
  <si>
    <t xml:space="preserve">MC4R agonist; approved for POMC/LEPR/PCSK1 deficiency; strong launch</t>
  </si>
  <si>
    <t xml:space="preserve">ARDX</t>
  </si>
  <si>
    <t xml:space="preserve">Ardelyx</t>
  </si>
  <si>
    <t xml:space="preserve">Immunology</t>
  </si>
  <si>
    <t xml:space="preserve">IgA Nephropathy / CKD</t>
  </si>
  <si>
    <t xml:space="preserve">Tenapanor</t>
  </si>
  <si>
    <t xml:space="preserve">Revenue Ramp</t>
  </si>
  <si>
    <t xml:space="preserve">Kyowa Kirin (Asia)</t>
  </si>
  <si>
    <t xml:space="preserve">Novel NHE3 inhibitor; IgAN label expansion filing underway</t>
  </si>
  <si>
    <t xml:space="preserve">ALKS</t>
  </si>
  <si>
    <t xml:space="preserve">Alkermes</t>
  </si>
  <si>
    <t xml:space="preserve">Immunology / CNS</t>
  </si>
  <si>
    <t xml:space="preserve">Schizophrenia / MDD</t>
  </si>
  <si>
    <t xml:space="preserve">LYBALVI</t>
  </si>
  <si>
    <t xml:space="preserve">Commercial Ramp</t>
  </si>
  <si>
    <t xml:space="preserve">Diversified CNS/immunology; strong cash position; undervalued</t>
  </si>
  <si>
    <t xml:space="preserve">ACAD</t>
  </si>
  <si>
    <t xml:space="preserve">ACADIA Pharmaceuticals</t>
  </si>
  <si>
    <t xml:space="preserve">Rett Syndrome / PD-P</t>
  </si>
  <si>
    <t xml:space="preserve">Trofinetide</t>
  </si>
  <si>
    <t xml:space="preserve">Two marketed products; Rett syndrome leader</t>
  </si>
  <si>
    <t xml:space="preserve">VRTX</t>
  </si>
  <si>
    <t xml:space="preserve">Vertex Pharmaceuticals</t>
  </si>
  <si>
    <t xml:space="preserve">CF / Pain / APOL1</t>
  </si>
  <si>
    <t xml:space="preserve">Vanzacaftor Triple</t>
  </si>
  <si>
    <t xml:space="preserve">NDA Filing</t>
  </si>
  <si>
    <t xml:space="preserve">CRISPR Therapeutics</t>
  </si>
  <si>
    <t xml:space="preserve">Dominant CF franchise; next-gen triple approaching NDA; pain program</t>
  </si>
  <si>
    <t xml:space="preserve">SRTX</t>
  </si>
  <si>
    <t xml:space="preserve">Spruce Biosciences</t>
  </si>
  <si>
    <t xml:space="preserve">CNS</t>
  </si>
  <si>
    <t xml:space="preserve">Congenital Adrenal Hyp.</t>
  </si>
  <si>
    <t xml:space="preserve">Tildacerfont</t>
  </si>
  <si>
    <t xml:space="preserve">CRF1 antagonist for CAH; clean Phase 2 data; under-followed</t>
  </si>
  <si>
    <t xml:space="preserve">PRAX</t>
  </si>
  <si>
    <t xml:space="preserve">Praxis Precision Medicine</t>
  </si>
  <si>
    <t xml:space="preserve">Epilepsy / Essential Tremor</t>
  </si>
  <si>
    <t xml:space="preserve">Ulixacaltamide</t>
  </si>
  <si>
    <t xml:space="preserve">Nav1.2/1.6 inhibitor; broad epilepsy platform with multiple shots</t>
  </si>
  <si>
    <t xml:space="preserve">SAGE</t>
  </si>
  <si>
    <t xml:space="preserve">Sage Therapeutics</t>
  </si>
  <si>
    <t xml:space="preserve">Depression / Epilepsy</t>
  </si>
  <si>
    <t xml:space="preserve">SAGE-324</t>
  </si>
  <si>
    <t xml:space="preserve">Biogen (Zuranolone)</t>
  </si>
  <si>
    <t xml:space="preserve">GABA modulator; Zuranolone approved; pipeline rebuild underway</t>
  </si>
  <si>
    <t xml:space="preserve">PTGX</t>
  </si>
  <si>
    <t xml:space="preserve">Protagonist Therapeutics</t>
  </si>
  <si>
    <t xml:space="preserve">CNS / Haematology</t>
  </si>
  <si>
    <t xml:space="preserve">Polycythaemia Vera</t>
  </si>
  <si>
    <t xml:space="preserve">Rusfertide</t>
  </si>
  <si>
    <t xml:space="preserve">NDA Submission</t>
  </si>
  <si>
    <t xml:space="preserve">J&amp;J (Janssen)</t>
  </si>
  <si>
    <t xml:space="preserve">Hepcidin mimetic; J&amp;J partnership; NDA filing imminent</t>
  </si>
  <si>
    <t xml:space="preserve">CERE</t>
  </si>
  <si>
    <t xml:space="preserve">Cerevel Therapeutics</t>
  </si>
  <si>
    <t xml:space="preserve">Schizophrenia / PD</t>
  </si>
  <si>
    <t xml:space="preserve">Tavapadon</t>
  </si>
  <si>
    <t xml:space="preserve">AbbVie (acq. pending)</t>
  </si>
  <si>
    <t xml:space="preserve">Dopamine D1 partial agonist; AbbVie acquisition target</t>
  </si>
  <si>
    <t xml:space="preserve">MDGL</t>
  </si>
  <si>
    <t xml:space="preserve">Madrigal Pharmaceuticals</t>
  </si>
  <si>
    <t xml:space="preserve">Cardiometabolic</t>
  </si>
  <si>
    <t xml:space="preserve">NASH / MASH</t>
  </si>
  <si>
    <t xml:space="preserve">Rezdiffra</t>
  </si>
  <si>
    <t xml:space="preserve">First-and-only approved MASH treatment; large market opportunity</t>
  </si>
  <si>
    <t xml:space="preserve">ESPR</t>
  </si>
  <si>
    <t xml:space="preserve">Esperion Therapeutics</t>
  </si>
  <si>
    <t xml:space="preserve">LDL-C / Hypercholest.</t>
  </si>
  <si>
    <t xml:space="preserve">Nexletol/Nexlizet</t>
  </si>
  <si>
    <t xml:space="preserve">Daiichi Sankyo</t>
  </si>
  <si>
    <t xml:space="preserve">Approved oral LDL therapy; watch cash; BD partnership important</t>
  </si>
  <si>
    <t xml:space="preserve">NUVL</t>
  </si>
  <si>
    <t xml:space="preserve">Nuvalent</t>
  </si>
  <si>
    <t xml:space="preserve">Oncology / CardioMet</t>
  </si>
  <si>
    <t xml:space="preserve">ROS1 / ALK NSCLC</t>
  </si>
  <si>
    <t xml:space="preserve">Zidesamtinib</t>
  </si>
  <si>
    <t xml:space="preserve">Phase 1/2 Data</t>
  </si>
  <si>
    <t xml:space="preserve">Brain-penetrant kinase inhibitors; rapid clinical progression</t>
  </si>
  <si>
    <t xml:space="preserve">HALO</t>
  </si>
  <si>
    <t xml:space="preserve">Halozyme Therapeutics</t>
  </si>
  <si>
    <t xml:space="preserve">ENHANZE drug delivery</t>
  </si>
  <si>
    <t xml:space="preserve">ENHANZE (platform)</t>
  </si>
  <si>
    <t xml:space="preserve">Royalty Growth</t>
  </si>
  <si>
    <t xml:space="preserve">Roche/J&amp;J/AZ/Pfizer</t>
  </si>
  <si>
    <t xml:space="preserve">Drug delivery royalty model; highly profitable; multiple blue-chip partners</t>
  </si>
  <si>
    <t xml:space="preserve">AMRX</t>
  </si>
  <si>
    <t xml:space="preserve">Amneal Pharmaceuticals</t>
  </si>
  <si>
    <t xml:space="preserve">Parkinson's / Generics</t>
  </si>
  <si>
    <t xml:space="preserve">IPX203</t>
  </si>
  <si>
    <t xml:space="preserve">Launch Trajectory</t>
  </si>
  <si>
    <t xml:space="preserve">Hybrid branded/generic; IPX203 differentiated extended-release levodopa</t>
  </si>
  <si>
    <t xml:space="preserve">TERN</t>
  </si>
  <si>
    <t xml:space="preserve">Terns Pharmaceuticals</t>
  </si>
  <si>
    <t xml:space="preserve">MASH / Obesity</t>
  </si>
  <si>
    <t xml:space="preserve">TERN-501</t>
  </si>
  <si>
    <t xml:space="preserve">THR-beta agonist + GLP-1 combo strategy; well-capitalised for stage</t>
  </si>
  <si>
    <t xml:space="preserve">CVKD</t>
  </si>
  <si>
    <t xml:space="preserve">Cardiol Therapeutics</t>
  </si>
  <si>
    <t xml:space="preserve">NYSE Am</t>
  </si>
  <si>
    <t xml:space="preserve">Acute Myocarditis</t>
  </si>
  <si>
    <t xml:space="preserve">CardiolRx</t>
  </si>
  <si>
    <t xml:space="preserve">Phase 2 Readout</t>
  </si>
  <si>
    <t xml:space="preserve">Anti-fibrotic cannabidiol formulation; micro-cap; high risk</t>
  </si>
  <si>
    <t xml:space="preserve">PIPELINE DATABASE  —  Programme-Level Detail</t>
  </si>
  <si>
    <t xml:space="preserve">One row per programme / drug candidate. Source: ClinicalTrials.gov, SEC Filings, Company IR. Populate manually or via Python data pipeline.</t>
  </si>
  <si>
    <t xml:space="preserve">Company</t>
  </si>
  <si>
    <t xml:space="preserve">Drug / Asset Name</t>
  </si>
  <si>
    <t xml:space="preserve">INN / Generic Name</t>
  </si>
  <si>
    <t xml:space="preserve">Target / MoA</t>
  </si>
  <si>
    <t xml:space="preserve">Indication</t>
  </si>
  <si>
    <t xml:space="preserve">Orphan Designation</t>
  </si>
  <si>
    <t xml:space="preserve">Dev Phase</t>
  </si>
  <si>
    <t xml:space="preserve">Trial ID (NCT)</t>
  </si>
  <si>
    <t xml:space="preserve">Est. Primary Compl.</t>
  </si>
  <si>
    <t xml:space="preserve">Partnership</t>
  </si>
  <si>
    <t xml:space="preserve">Deal Type</t>
  </si>
  <si>
    <t xml:space="preserve">Deal Value ($M)</t>
  </si>
  <si>
    <t xml:space="preserve">PDUFA / Reg. Date</t>
  </si>
  <si>
    <t xml:space="preserve">Priority Review</t>
  </si>
  <si>
    <t xml:space="preserve">Notes</t>
  </si>
  <si>
    <t xml:space="preserve">mRNA-4157</t>
  </si>
  <si>
    <t xml:space="preserve">Neoantigen mRNA</t>
  </si>
  <si>
    <t xml:space="preserve">Melanoma / NSCLC</t>
  </si>
  <si>
    <t xml:space="preserve">No</t>
  </si>
  <si>
    <t xml:space="preserve">NCT03897881</t>
  </si>
  <si>
    <t xml:space="preserve">Co-develop/co-comm</t>
  </si>
  <si>
    <t xml:space="preserve">1000+</t>
  </si>
  <si>
    <t xml:space="preserve">N/A</t>
  </si>
  <si>
    <t xml:space="preserve">BLA target 2025; PD-L1+ NSCLC expansion ongoing</t>
  </si>
  <si>
    <t xml:space="preserve">BCL11A enhancer (base ed)</t>
  </si>
  <si>
    <t xml:space="preserve">Yes</t>
  </si>
  <si>
    <t xml:space="preserve">NCT05456880</t>
  </si>
  <si>
    <t xml:space="preserve">Pfizer</t>
  </si>
  <si>
    <t xml:space="preserve">Licence</t>
  </si>
  <si>
    <t xml:space="preserve">Base editing; avoids DSBs; differentiates from CRISPR</t>
  </si>
  <si>
    <t xml:space="preserve">Arrowhead Pharma</t>
  </si>
  <si>
    <t xml:space="preserve">ARO-APOC3</t>
  </si>
  <si>
    <t xml:space="preserve">APOC3 silencing</t>
  </si>
  <si>
    <t xml:space="preserve">Hypertriglyceridaemia</t>
  </si>
  <si>
    <t xml:space="preserve">NCT04998201</t>
  </si>
  <si>
    <t xml:space="preserve">Co-develop</t>
  </si>
  <si>
    <t xml:space="preserve">Severe hypertriglyceridaemia; broad CV risk reduction potential</t>
  </si>
  <si>
    <t xml:space="preserve">RAS(ON) multi-selective</t>
  </si>
  <si>
    <t xml:space="preserve">PDAC / CRC / NSCLC</t>
  </si>
  <si>
    <t xml:space="preserve">NCT05379985</t>
  </si>
  <si>
    <t xml:space="preserve">—</t>
  </si>
  <si>
    <t xml:space="preserve">Pan-RAS inhibitor; covers KRAS G12X, NRAS, HRAS</t>
  </si>
  <si>
    <t xml:space="preserve">Vertex Pharma</t>
  </si>
  <si>
    <t xml:space="preserve">VX-522 triple</t>
  </si>
  <si>
    <t xml:space="preserve">CFTR potentiator/corrector</t>
  </si>
  <si>
    <t xml:space="preserve">Cystic Fibrosis</t>
  </si>
  <si>
    <t xml:space="preserve">NCT05709600</t>
  </si>
  <si>
    <t xml:space="preserve">NDA 2025</t>
  </si>
  <si>
    <t xml:space="preserve">Next-gen CF triple; once-daily dosing; broader eligible population</t>
  </si>
  <si>
    <t xml:space="preserve">Madrigal Pharma</t>
  </si>
  <si>
    <t xml:space="preserve">Resmetirom</t>
  </si>
  <si>
    <t xml:space="preserve">THR-beta agonist</t>
  </si>
  <si>
    <t xml:space="preserve">MASH (NASH)</t>
  </si>
  <si>
    <t xml:space="preserve">Commercl</t>
  </si>
  <si>
    <t xml:space="preserve">First approved MASH treatment; FDA March 2024; large unmet need</t>
  </si>
  <si>
    <t xml:space="preserve">Beremagene gep.</t>
  </si>
  <si>
    <t xml:space="preserve">COL7A1 gene delivery</t>
  </si>
  <si>
    <t xml:space="preserve">Dystrophic EB (RDEB)</t>
  </si>
  <si>
    <t xml:space="preserve">Redosable topical gene therapy; only approved product of its kind</t>
  </si>
  <si>
    <t xml:space="preserve">Praxis Precision</t>
  </si>
  <si>
    <t xml:space="preserve">PRAX-944</t>
  </si>
  <si>
    <t xml:space="preserve">Nav1.2/1.6 inhibitor</t>
  </si>
  <si>
    <t xml:space="preserve">Essential Tremor</t>
  </si>
  <si>
    <t xml:space="preserve">NCT05687188</t>
  </si>
  <si>
    <t xml:space="preserve">High unmet need; differentiated from propranolol/primidone</t>
  </si>
  <si>
    <t xml:space="preserve">Protagonist Therap.</t>
  </si>
  <si>
    <t xml:space="preserve">PTG-300</t>
  </si>
  <si>
    <t xml:space="preserve">Hepcidin mimetic</t>
  </si>
  <si>
    <t xml:space="preserve">NCT04057040</t>
  </si>
  <si>
    <t xml:space="preserve">NDA submission imminent; J&amp;J deal confirms value</t>
  </si>
  <si>
    <t xml:space="preserve">Halozyme</t>
  </si>
  <si>
    <t xml:space="preserve">ENHANZE Platform</t>
  </si>
  <si>
    <t xml:space="preserve">rHuPH20</t>
  </si>
  <si>
    <t xml:space="preserve">Hyaluronidase enzyme</t>
  </si>
  <si>
    <t xml:space="preserve">Drug delivery platform</t>
  </si>
  <si>
    <t xml:space="preserve">Ongoing</t>
  </si>
  <si>
    <t xml:space="preserve">Royalty/licence</t>
  </si>
  <si>
    <t xml:space="preserve">2000+</t>
  </si>
  <si>
    <t xml:space="preserve">High-quality royalty stream; asset-light; strong FCF</t>
  </si>
  <si>
    <t xml:space="preserve">IRAK4 degrader (TPD)</t>
  </si>
  <si>
    <t xml:space="preserve">MYD88-mutant DLBCL</t>
  </si>
  <si>
    <t xml:space="preserve">NCT04647396</t>
  </si>
  <si>
    <t xml:space="preserve">Co-develop/opt.</t>
  </si>
  <si>
    <t xml:space="preserve">TPD platform; Sanofi partnership covers immunology assets</t>
  </si>
  <si>
    <t xml:space="preserve">AB154</t>
  </si>
  <si>
    <t xml:space="preserve">Anti-TIGIT</t>
  </si>
  <si>
    <t xml:space="preserve">NCT04262856</t>
  </si>
  <si>
    <t xml:space="preserve">Fc-silent anti-TIGIT; combo with zimberelimab (anti-PD-1)</t>
  </si>
  <si>
    <t xml:space="preserve">GABA-A PAM (extrasynaptic)</t>
  </si>
  <si>
    <t xml:space="preserve">NCT04285177</t>
  </si>
  <si>
    <t xml:space="preserve">Co-comm (ZURN)</t>
  </si>
  <si>
    <t xml:space="preserve">Novel ET mechanism; complements Zuranolone collaboration</t>
  </si>
  <si>
    <t xml:space="preserve">IMVT-1401</t>
  </si>
  <si>
    <t xml:space="preserve">Anti-FcRn</t>
  </si>
  <si>
    <t xml:space="preserve">Thyroid Eye Disease / MG</t>
  </si>
  <si>
    <t xml:space="preserve">NCT05304169</t>
  </si>
  <si>
    <t xml:space="preserve">Broad autoimmune pipeline; TED, CIDP, MG, ITP indications</t>
  </si>
  <si>
    <t xml:space="preserve">Pombiliti + Opfolda</t>
  </si>
  <si>
    <t xml:space="preserve">AT-GAA + DNB</t>
  </si>
  <si>
    <t xml:space="preserve">GAA enzyme replacement</t>
  </si>
  <si>
    <t xml:space="preserve">Late-onset Pompe Disease</t>
  </si>
  <si>
    <t xml:space="preserve">Two-component therapy; superior glycan targeting vs Myozyme</t>
  </si>
  <si>
    <t xml:space="preserve">FINANCIALS DATABASE  —  Company-Level Financial Metrics</t>
  </si>
  <si>
    <t xml:space="preserve">Source: SEC EDGAR 10-K/10-Q filings. Cash = most recent quarter end. Burn = average quarterly OpEx (cash). Runway = Cash ÷ Quarterly Burn.</t>
  </si>
  <si>
    <t xml:space="preserve">Filing Date</t>
  </si>
  <si>
    <t xml:space="preserve">Share Price ($)</t>
  </si>
  <si>
    <t xml:space="preserve">Shares Out (M)</t>
  </si>
  <si>
    <t xml:space="preserve">Cash &amp; Equiv ($M)</t>
  </si>
  <si>
    <t xml:space="preserve">Short-term Inv ($M)</t>
  </si>
  <si>
    <t xml:space="preserve">Total Liquid ($M)</t>
  </si>
  <si>
    <t xml:space="preserve">Revenue ($M) TTM</t>
  </si>
  <si>
    <t xml:space="preserve">Rev Growth YoY</t>
  </si>
  <si>
    <t xml:space="preserve">Data Source</t>
  </si>
  <si>
    <t xml:space="preserve">Q3 2024</t>
  </si>
  <si>
    <t xml:space="preserve">SEC EDGAR 10-Q, Q3 2024</t>
  </si>
  <si>
    <t xml:space="preserve">Ultragenyx Pharma</t>
  </si>
  <si>
    <t xml:space="preserve">CATALYST CALENDAR  —  Near-Term Binary Events</t>
  </si>
  <si>
    <t xml:space="preserve">Source: Company guidance, ClinicalTrials.gov, FDA PDUFA calendar, BioPharmCatalyst. Sort by Expected Date.</t>
  </si>
  <si>
    <t xml:space="preserve">Asset</t>
  </si>
  <si>
    <t xml:space="preserve">Event Type</t>
  </si>
  <si>
    <t xml:space="preserve">Expected Date</t>
  </si>
  <si>
    <t xml:space="preserve">Timing Certainty</t>
  </si>
  <si>
    <t xml:space="preserve">Bull Case</t>
  </si>
  <si>
    <t xml:space="preserve">Bear Case</t>
  </si>
  <si>
    <t xml:space="preserve">Watch Priority</t>
  </si>
  <si>
    <t xml:space="preserve">Source</t>
  </si>
  <si>
    <t xml:space="preserve">High</t>
  </si>
  <si>
    <t xml:space="preserve">NDA accepted; PDUFA ~Q4 2025; high PoS given J&amp;J partnership</t>
  </si>
  <si>
    <t xml:space="preserve">Manufacturing delay; FDA RfI</t>
  </si>
  <si>
    <t xml:space="preserve">⭐⭐⭐⭐⭐</t>
  </si>
  <si>
    <t xml:space="preserve">Company guidance / J&amp;J co-dev</t>
  </si>
  <si>
    <t xml:space="preserve">PDAC / CRC</t>
  </si>
  <si>
    <t xml:space="preserve">Monotherapy ORR &gt;30% in PDAC would be paradigm-shifting</t>
  </si>
  <si>
    <t xml:space="preserve">Single agent activity disappoints; combo still works</t>
  </si>
  <si>
    <t xml:space="preserve">Company guidance / ClinTrials</t>
  </si>
  <si>
    <t xml:space="preserve">Superior FEV1 improvement; once-daily dosing; broader eligibility</t>
  </si>
  <si>
    <t xml:space="preserve">Marginal improvement over Trikafta; label narrower</t>
  </si>
  <si>
    <t xml:space="preserve">⭐⭐⭐⭐</t>
  </si>
  <si>
    <t xml:space="preserve">Company guidance</t>
  </si>
  <si>
    <t xml:space="preserve">Medium</t>
  </si>
  <si>
    <t xml:space="preserve">P3 replicates P2 60% responder rate; clean CNS profile</t>
  </si>
  <si>
    <t xml:space="preserve">P3 misses primary endpoint; competitive data from SAGE-324</t>
  </si>
  <si>
    <t xml:space="preserve">ClinTrials NCT05687188</t>
  </si>
  <si>
    <t xml:space="preserve">Severe Hypertriglyceridaemia</t>
  </si>
  <si>
    <t xml:space="preserve">50%+ TG reduction; CV outcomes program potential; partner interest</t>
  </si>
  <si>
    <t xml:space="preserve">Efficacy met but safety signal (hepatic); narrow label</t>
  </si>
  <si>
    <t xml:space="preserve">Company guidance / GSK co-dev</t>
  </si>
  <si>
    <t xml:space="preserve">HbF induction &gt;30% with durable edits; differentiated from ex-vivo</t>
  </si>
  <si>
    <t xml:space="preserve">Lower engraftment than CRISPR competitors; safety flags</t>
  </si>
  <si>
    <t xml:space="preserve">ClinTrials NCT05456880</t>
  </si>
  <si>
    <t xml:space="preserve">Personalised neoantigen vaccine + pembro; KEYNOTE-942 follow-up</t>
  </si>
  <si>
    <t xml:space="preserve">Phase 3 fails to replicate Phase 2b; NSCLC data weaker</t>
  </si>
  <si>
    <t xml:space="preserve">KEYNOTE-942 ext. / Merck</t>
  </si>
  <si>
    <t xml:space="preserve">Anti-FcRn mechanism validated; label &gt;TED (MG, CIDP, ITP)</t>
  </si>
  <si>
    <t xml:space="preserve">Non-inferior but not superior to existing anti-FcRn agents</t>
  </si>
  <si>
    <t xml:space="preserve">⭐⭐⭐</t>
  </si>
  <si>
    <t xml:space="preserve">Congenital Adrenal Hyperp.</t>
  </si>
  <si>
    <t xml:space="preserve">CRF1 blocker reduces androgen levels; orphan; no competition</t>
  </si>
  <si>
    <t xml:space="preserve">Phase 2 did not meet all secondary endpoints; small n</t>
  </si>
  <si>
    <t xml:space="preserve">ClinTrials NCT05237453</t>
  </si>
  <si>
    <t xml:space="preserve">LDL-C / ASCVD</t>
  </si>
  <si>
    <t xml:space="preserve">CVOT Data (CLEAR-2)</t>
  </si>
  <si>
    <t xml:space="preserve">CV outcomes trial data confirms mortality benefit; label expansion</t>
  </si>
  <si>
    <t xml:space="preserve">Marginal benefit vs statins; reimbursement challenges remain</t>
  </si>
  <si>
    <t xml:space="preserve">Company guidance / CLEAR trial</t>
  </si>
  <si>
    <t xml:space="preserve">IRAK4 degrader shows ORR &gt;30% in R/R DLBCL; Sanofi validates</t>
  </si>
  <si>
    <t xml:space="preserve">Phase 1 ORR disappoints; degrader selectivity issues</t>
  </si>
  <si>
    <t xml:space="preserve">AACR/ASH abstract / Sanofi</t>
  </si>
  <si>
    <t xml:space="preserve">THR-beta + GLP-1 combo; positioned in growing obesity market</t>
  </si>
  <si>
    <t xml:space="preserve">Monotherapy underwhelms; MASH space crowded post-Rezdiffra</t>
  </si>
  <si>
    <t xml:space="preserve">⭐⭐</t>
  </si>
  <si>
    <t xml:space="preserve">Low</t>
  </si>
  <si>
    <t xml:space="preserve">First-in-disease treatment; large unmet need; micro-cap asymmetry</t>
  </si>
  <si>
    <t xml:space="preserve">Small trial; FDA may require Phase 3; micro-cap liquidity</t>
  </si>
  <si>
    <t xml:space="preserve">IL-15 pathway; combo potential with checkpoint inhibitors</t>
  </si>
  <si>
    <t xml:space="preserve">Multiple pipeline failures; cash runway &lt; 4 quarters</t>
  </si>
  <si>
    <t xml:space="preserve">⭐</t>
  </si>
  <si>
    <t xml:space="preserve">BIOTECH SCREENER — USER GUIDE &amp; DATA DICTIONARY</t>
  </si>
  <si>
    <t xml:space="preserve">SHEET OVERVIEW</t>
  </si>
  <si>
    <t xml:space="preserve">📊 Screener</t>
  </si>
  <si>
    <t xml:space="preserve">Main interactive view. Use column filter dropdowns (row 6) to screen by any field. Runway Flag auto-colours based on cash position. Sort by any column.</t>
  </si>
  <si>
    <t xml:space="preserve">🧬 Pipeline DB</t>
  </si>
  <si>
    <t xml:space="preserve">One row per drug programme. Granular pipeline data: modality, MoA, indication, trial ID, partnership details. Add new rows as you track companies.</t>
  </si>
  <si>
    <t xml:space="preserve">💰 Financials DB</t>
  </si>
  <si>
    <t xml:space="preserve">Company-level financial data sourced from SEC EDGAR 10-Q filings. Update quarterly. Cash runway calculated automatically.</t>
  </si>
  <si>
    <t xml:space="preserve">📅 Catalyst Cal.</t>
  </si>
  <si>
    <t xml:space="preserve">Near-term binary events ranked by Watch Priority. Bull/Bear case thesis for each catalyst. Sort by Expected Date for time-sensitive screening.</t>
  </si>
  <si>
    <t xml:space="preserve">KEY FIELDS EXPLAINED</t>
  </si>
  <si>
    <t xml:space="preserve">Cash &amp; Equivalents ÷ Quarterly Cash Burn. 🔴 &lt;4Q = elevated financing risk. 🟡 4-8Q = moderate. 🟢 &gt;8Q = well-capitalised. ✅ CF+ = cashflow positive.</t>
  </si>
  <si>
    <t xml:space="preserve">Market Cap - Cash &amp; Equivalents (simplified, no debt adjustment). For cash-heavy pre-revenue biotechs this approximates pipeline value only.</t>
  </si>
  <si>
    <t xml:space="preserve">Phase 1 (safety/dose-finding) → Phase 1/2 → Phase 2 (PoC/dose) → Phase 3 (pivotal) → Approved (NDA/BLA accepted). De-risking = value inflection.</t>
  </si>
  <si>
    <t xml:space="preserve">Phase 2/3 Data Readout = binary event. NDA Filing/Submission = regulatory. PDUFA = FDA decision date. Commercial Launch = revenue ramp catalyst.</t>
  </si>
  <si>
    <t xml:space="preserve">Small Mol (oral, easy mfg) · mAb (high specificity, parenteral) · ADC (targeted cytotoxic) · Cell Therapy (high cost, curative potential) · Gene Therapy · RNA · Protein/Peptide.</t>
  </si>
  <si>
    <t xml:space="preserve">⭐⭐⭐⭐⭐ = near-term, high-conviction binary. ⭐⭐⭐ = important but longer dated or more uncertain. ⭐⭐ = speculative / micro-cap. ⭐ = monitor only.</t>
  </si>
  <si>
    <t xml:space="preserve">DATA SOURCES &amp; REFRESH GUIDE</t>
  </si>
  <si>
    <t xml:space="preserve">Market Cap / Price</t>
  </si>
  <si>
    <t xml:space="preserve">Update weekly via yFinance (Python) or manual input from Yahoo Finance / Bloomberg. Formula: Mkt Cap = Share Price × Shares Outstanding.</t>
  </si>
  <si>
    <t xml:space="preserve">Cash &amp; Burn</t>
  </si>
  <si>
    <t xml:space="preserve">Update quarterly from SEC EDGAR 10-Q (Balance Sheet: Cash &amp; equivalents + short-term investments; Cash Flow Statement: Operating cash used).</t>
  </si>
  <si>
    <t xml:space="preserve">Pipeline Data</t>
  </si>
  <si>
    <t xml:space="preserve">Update from: (1) Company IR 'Pipeline' page. (2) ClinicalTrials.gov (search by sponsor). (3) 10-K annual report pipeline table. Review on earnings dates.</t>
  </si>
  <si>
    <t xml:space="preserve">Catalyst Dates</t>
  </si>
  <si>
    <t xml:space="preserve">Primary sources: Company earnings call guidance, ClinicalTrials.gov primary completion dates, FDA PDUFA calendar (drugs@fda.gov), BioPharmCatalyst.com.</t>
  </si>
  <si>
    <t xml:space="preserve">SEC EDGAR API</t>
  </si>
  <si>
    <t xml:space="preserve">Free API: https://efts.sec.gov/LATEST/search-index?q=%22company+name%22&amp;dateRange=custom — pull 10-Q/10-K filings programmatically.</t>
  </si>
  <si>
    <t xml:space="preserve">ClinTrials API</t>
  </si>
  <si>
    <t xml:space="preserve">Free REST API: https://clinicaltrials.gov/api/v2/studies?query.spons=COMPANY+NAME — returns all registered trials with phase, status, completion date.</t>
  </si>
  <si>
    <t xml:space="preserve">COLOUR CODING KEY</t>
  </si>
  <si>
    <t xml:space="preserve">Blue text</t>
  </si>
  <si>
    <t xml:space="preserve">Hardcoded inputs — values you enter manually (market data, pipeline details).</t>
  </si>
  <si>
    <t xml:space="preserve">Black text</t>
  </si>
  <si>
    <t xml:space="preserve">Formulas and calculated values — do not overwrite unless updating the formula.</t>
  </si>
  <si>
    <t xml:space="preserve">🔴 Red Runway</t>
  </si>
  <si>
    <t xml:space="preserve">Cash runway &lt; 4 quarters. Company likely needs to raise capital within 12 months. High dilution / going concern risk.</t>
  </si>
  <si>
    <t xml:space="preserve">🟡 Amber Runway</t>
  </si>
  <si>
    <t xml:space="preserve">Cash runway 4–8 quarters. Monitor closely. May need to raise capital within 24 months depending on pipeline progress.</t>
  </si>
  <si>
    <t xml:space="preserve">🟢 Green Runway</t>
  </si>
  <si>
    <t xml:space="preserve">Cash runway &gt; 8 quarters. Well-capitalised. Lower near-term dilution risk; can execute pipeline without immediate financing pressure.</t>
  </si>
  <si>
    <t xml:space="preserve">Company is cashflow positive. Approved / revenue-generating product. No near-term dilution risk from operations.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</si>
</sst>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#,##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B2DFE5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9"/>
      <color rgb="FF1A7A4A"/>
      <name val="Arial"/>
      <family val="0"/>
      <charset val="1"/>
    </font>
    <font>
      <b val="true"/>
      <sz val="9"/>
      <color rgb="FF1A56D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8B1A6B"/>
      <name val="Arial"/>
      <family val="0"/>
      <charset val="1"/>
    </font>
    <font>
      <b val="true"/>
      <sz val="9"/>
      <color rgb="FFC27803"/>
      <name val="Arial"/>
      <family val="0"/>
      <charset val="1"/>
    </font>
    <font>
      <sz val="9"/>
      <color rgb="FF1A6FA8"/>
      <name val="Arial"/>
      <family val="0"/>
      <charset val="1"/>
    </font>
    <font>
      <sz val="9"/>
      <color rgb="FFA05C00"/>
      <name val="Arial"/>
      <family val="0"/>
      <charset val="1"/>
    </font>
    <font>
      <b val="true"/>
      <sz val="9"/>
      <color rgb="FF1A7A4A"/>
      <name val="Arial"/>
      <family val="0"/>
      <charset val="1"/>
    </font>
    <font>
      <sz val="9"/>
      <color rgb="FF6A1B9A"/>
      <name val="Arial"/>
      <family val="0"/>
      <charset val="1"/>
    </font>
    <font>
      <b val="true"/>
      <sz val="9"/>
      <color rgb="FFA05C00"/>
      <name val="Arial"/>
      <family val="0"/>
      <charset val="1"/>
    </font>
    <font>
      <sz val="10"/>
      <color rgb="FF1A7A4A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7B2FB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0A7E8C"/>
        <bgColor rgb="FF1A6FA8"/>
      </patternFill>
    </fill>
    <fill>
      <patternFill patternType="solid">
        <fgColor rgb="FF2E6B8A"/>
        <bgColor rgb="FF1A6FA8"/>
      </patternFill>
    </fill>
    <fill>
      <patternFill patternType="solid">
        <fgColor rgb="FF1A5C3A"/>
        <bgColor rgb="FF1A7A4A"/>
      </patternFill>
    </fill>
    <fill>
      <patternFill patternType="solid">
        <fgColor rgb="FF6B3A7D"/>
        <bgColor rgb="FF7B2FBE"/>
      </patternFill>
    </fill>
    <fill>
      <patternFill patternType="solid">
        <fgColor rgb="FF595959"/>
        <bgColor rgb="FF6B3A7D"/>
      </patternFill>
    </fill>
    <fill>
      <patternFill patternType="solid">
        <fgColor rgb="FFF5F5F5"/>
        <bgColor rgb="FFF0FBF0"/>
      </patternFill>
    </fill>
    <fill>
      <patternFill patternType="solid">
        <fgColor rgb="FFFDE8E8"/>
        <bgColor rgb="FFFDECEA"/>
      </patternFill>
    </fill>
    <fill>
      <patternFill patternType="solid">
        <fgColor rgb="FFF0FBF0"/>
        <bgColor rgb="FFF5F5F5"/>
      </patternFill>
    </fill>
    <fill>
      <patternFill patternType="solid">
        <fgColor rgb="FFE8F0FE"/>
        <bgColor rgb="FFEAF4FB"/>
      </patternFill>
    </fill>
    <fill>
      <patternFill patternType="solid">
        <fgColor rgb="FFFFFFFF"/>
        <bgColor rgb="FFF5F5F5"/>
      </patternFill>
    </fill>
    <fill>
      <patternFill patternType="solid">
        <fgColor rgb="FFFDE8F5"/>
        <bgColor rgb="FFFDE8E8"/>
      </patternFill>
    </fill>
    <fill>
      <patternFill patternType="solid">
        <fgColor rgb="FFFEF3E2"/>
        <bgColor rgb="FFFDF6E3"/>
      </patternFill>
    </fill>
    <fill>
      <patternFill patternType="solid">
        <fgColor rgb="FFEAF4FB"/>
        <bgColor rgb="FFE6F4F6"/>
      </patternFill>
    </fill>
    <fill>
      <patternFill patternType="solid">
        <fgColor rgb="FFE8F5EE"/>
        <bgColor rgb="FFE6F4F6"/>
      </patternFill>
    </fill>
    <fill>
      <patternFill patternType="solid">
        <fgColor rgb="FFF5E8FD"/>
        <bgColor rgb="FFF3E8FD"/>
      </patternFill>
    </fill>
    <fill>
      <patternFill patternType="solid">
        <fgColor rgb="FFF3E8FD"/>
        <bgColor rgb="FFF5E8FD"/>
      </patternFill>
    </fill>
    <fill>
      <patternFill patternType="solid">
        <fgColor rgb="FFE6F4F6"/>
        <bgColor rgb="FFEAF4FB"/>
      </patternFill>
    </fill>
    <fill>
      <patternFill patternType="solid">
        <fgColor rgb="FFC9A84C"/>
        <bgColor rgb="FFAAAAAA"/>
      </patternFill>
    </fill>
    <fill>
      <patternFill patternType="solid">
        <fgColor rgb="FFA07820"/>
        <bgColor rgb="FFC27803"/>
      </patternFill>
    </fill>
    <fill>
      <patternFill patternType="solid">
        <fgColor rgb="FFFDF6E3"/>
        <bgColor rgb="FFFEF3E2"/>
      </patternFill>
    </fill>
    <fill>
      <patternFill patternType="solid">
        <fgColor rgb="FFC0392B"/>
        <bgColor rgb="FFA05C00"/>
      </patternFill>
    </fill>
    <fill>
      <patternFill patternType="solid">
        <fgColor rgb="FFC27803"/>
        <bgColor rgb="FFA07820"/>
      </patternFill>
    </fill>
    <fill>
      <patternFill patternType="solid">
        <fgColor rgb="FF1A7A4A"/>
        <bgColor rgb="FF1A5C3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7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7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7" fillId="2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2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0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0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0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0" fillId="2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0" fillId="2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0" fillId="2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A7E8C"/>
          <bgColor rgb="FF000000"/>
        </patternFill>
      </fill>
    </dxf>
    <dxf>
      <fill>
        <patternFill patternType="solid">
          <fgColor rgb="FF2E6B8A"/>
          <bgColor rgb="FF000000"/>
        </patternFill>
      </fill>
    </dxf>
    <dxf>
      <fill>
        <patternFill patternType="solid">
          <fgColor rgb="FF1A5C3A"/>
          <bgColor rgb="FF000000"/>
        </patternFill>
      </fill>
    </dxf>
    <dxf>
      <fill>
        <patternFill patternType="solid">
          <fgColor rgb="FF6B3A7D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DECEA"/>
        </patternFill>
      </fill>
    </dxf>
    <dxf>
      <font>
        <name val="Arial"/>
        <charset val="1"/>
        <family val="0"/>
        <b val="1"/>
        <color rgb="FFC27803"/>
      </font>
      <fill>
        <patternFill>
          <bgColor rgb="FFFEF3E2"/>
        </patternFill>
      </fill>
    </dxf>
    <dxf>
      <font>
        <name val="Arial"/>
        <charset val="1"/>
        <family val="0"/>
        <b val="1"/>
        <color rgb="FF1A7A4A"/>
      </font>
      <fill>
        <patternFill>
          <bgColor rgb="FFE8F5EE"/>
        </patternFill>
      </fill>
    </dxf>
    <dxf>
      <fill>
        <patternFill patternType="solid">
          <fgColor rgb="FFA078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ECEA"/>
      <rgbColor rgb="FFFF00FF"/>
      <rgbColor rgb="FF00FFFF"/>
      <rgbColor rgb="FF800000"/>
      <rgbColor rgb="FF1A5C3A"/>
      <rgbColor rgb="FF000080"/>
      <rgbColor rgb="FFA07820"/>
      <rgbColor rgb="FF6A1B9A"/>
      <rgbColor rgb="FF0A7E8C"/>
      <rgbColor rgb="FFCCCCCC"/>
      <rgbColor rgb="FFA05C00"/>
      <rgbColor rgb="FFE8F0FE"/>
      <rgbColor rgb="FF8B1A6B"/>
      <rgbColor rgb="FFFDF6E3"/>
      <rgbColor rgb="FFE6F4F6"/>
      <rgbColor rgb="FF660066"/>
      <rgbColor rgb="FFFF8080"/>
      <rgbColor rgb="FF1A56DB"/>
      <rgbColor rgb="FFF3E8FD"/>
      <rgbColor rgb="FF000080"/>
      <rgbColor rgb="FFFF00FF"/>
      <rgbColor rgb="FFF5F5F5"/>
      <rgbColor rgb="FF00FFFF"/>
      <rgbColor rgb="FF800080"/>
      <rgbColor rgb="FF800000"/>
      <rgbColor rgb="FF1A7A4A"/>
      <rgbColor rgb="FF0000FF"/>
      <rgbColor rgb="FF00CCFF"/>
      <rgbColor rgb="FFE8F5EE"/>
      <rgbColor rgb="FFF0FBF0"/>
      <rgbColor rgb="FFFEF3E2"/>
      <rgbColor rgb="FFB2DFE5"/>
      <rgbColor rgb="FFFDE8F5"/>
      <rgbColor rgb="FFF5E8FD"/>
      <rgbColor rgb="FFFDE8E8"/>
      <rgbColor rgb="FF1A6FA8"/>
      <rgbColor rgb="FF33CCCC"/>
      <rgbColor rgb="FF99CC00"/>
      <rgbColor rgb="FFEAF4FB"/>
      <rgbColor rgb="FFC9A84C"/>
      <rgbColor rgb="FFC27803"/>
      <rgbColor rgb="FF595959"/>
      <rgbColor rgb="FFAAAAAA"/>
      <rgbColor rgb="FF003366"/>
      <rgbColor rgb="FF2E6B8A"/>
      <rgbColor rgb="FF003300"/>
      <rgbColor rgb="FF333300"/>
      <rgbColor rgb="FFC0392B"/>
      <rgbColor rgb="FF6B3A7D"/>
      <rgbColor rgb="FF7B2FBE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T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9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12"/>
    <col collapsed="false" customWidth="true" hidden="false" outlineLevel="0" max="13" min="13" style="1" width="11"/>
    <col collapsed="false" customWidth="true" hidden="false" outlineLevel="0" max="16" min="14" style="1" width="12"/>
    <col collapsed="false" customWidth="true" hidden="false" outlineLevel="0" max="19" min="17" style="1" width="11"/>
    <col collapsed="false" customWidth="true" hidden="false" outlineLevel="0" max="20" min="20" style="1" width="30"/>
  </cols>
  <sheetData>
    <row r="1" customFormat="false" ht="9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39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21.75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8" hidden="false" customHeight="true" outlineLevel="0" collapsed="false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6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43.5" hidden="false" customHeight="true" outlineLevel="0" collapsed="false">
      <c r="A6" s="6" t="s">
        <v>3</v>
      </c>
      <c r="B6" s="6" t="s">
        <v>4</v>
      </c>
      <c r="C6" s="6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8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9" t="s">
        <v>19</v>
      </c>
      <c r="R6" s="10" t="s">
        <v>20</v>
      </c>
      <c r="S6" s="10" t="s">
        <v>21</v>
      </c>
      <c r="T6" s="11" t="s">
        <v>22</v>
      </c>
    </row>
    <row r="7" customFormat="false" ht="36" hidden="false" customHeight="true" outlineLevel="0" collapsed="false">
      <c r="A7" s="12" t="s">
        <v>23</v>
      </c>
      <c r="B7" s="13" t="s">
        <v>24</v>
      </c>
      <c r="C7" s="14" t="s">
        <v>25</v>
      </c>
      <c r="D7" s="15" t="s">
        <v>26</v>
      </c>
      <c r="E7" s="13" t="s">
        <v>27</v>
      </c>
      <c r="F7" s="16" t="s">
        <v>28</v>
      </c>
      <c r="G7" s="13" t="s">
        <v>29</v>
      </c>
      <c r="H7" s="17" t="s">
        <v>30</v>
      </c>
      <c r="I7" s="14" t="s">
        <v>31</v>
      </c>
      <c r="J7" s="13" t="s">
        <v>32</v>
      </c>
      <c r="K7" s="13" t="s">
        <v>33</v>
      </c>
      <c r="L7" s="18" t="n">
        <v>45000</v>
      </c>
      <c r="M7" s="18" t="n">
        <v>13200</v>
      </c>
      <c r="N7" s="19" t="n">
        <v>800</v>
      </c>
      <c r="O7" s="20" t="n">
        <f aca="false">IFERROR(ROUND(M7/N7,1),"N/A")</f>
        <v>16.5</v>
      </c>
      <c r="P7" s="21" t="str">
        <f aca="false">IFERROR(IF(O7="CF+","✅ CF+", IF(O7&lt;4,"🔴 &lt;4Q",IF(O7&lt;8,"🟡 4-8Q","🟢 &gt;8Q"))),"N/A")</f>
        <v>🟢 &gt;8Q</v>
      </c>
      <c r="Q7" s="22" t="n">
        <f aca="false">L7-M7</f>
        <v>31800</v>
      </c>
      <c r="R7" s="23" t="n">
        <v>52</v>
      </c>
      <c r="S7" s="23" t="n">
        <v>160</v>
      </c>
      <c r="T7" s="24" t="s">
        <v>34</v>
      </c>
    </row>
    <row r="8" customFormat="false" ht="36" hidden="false" customHeight="true" outlineLevel="0" collapsed="false">
      <c r="A8" s="25" t="s">
        <v>35</v>
      </c>
      <c r="B8" s="26" t="s">
        <v>36</v>
      </c>
      <c r="C8" s="27" t="s">
        <v>25</v>
      </c>
      <c r="D8" s="15" t="s">
        <v>26</v>
      </c>
      <c r="E8" s="26" t="s">
        <v>37</v>
      </c>
      <c r="F8" s="28" t="s">
        <v>38</v>
      </c>
      <c r="G8" s="26" t="s">
        <v>39</v>
      </c>
      <c r="H8" s="29" t="s">
        <v>40</v>
      </c>
      <c r="I8" s="27" t="s">
        <v>41</v>
      </c>
      <c r="J8" s="26" t="s">
        <v>42</v>
      </c>
      <c r="K8" s="26" t="s">
        <v>43</v>
      </c>
      <c r="L8" s="30" t="n">
        <v>280</v>
      </c>
      <c r="M8" s="30" t="n">
        <v>95</v>
      </c>
      <c r="N8" s="31" t="n">
        <v>28</v>
      </c>
      <c r="O8" s="32" t="n">
        <f aca="false">IFERROR(ROUND(M8/N8,1),"N/A")</f>
        <v>3.4</v>
      </c>
      <c r="P8" s="33" t="str">
        <f aca="false">IFERROR(IF(O8="CF+","✅ CF+", IF(O8&lt;4,"🔴 &lt;4Q",IF(O8&lt;8,"🟡 4-8Q","🟢 &gt;8Q"))),"N/A")</f>
        <v>🔴 &lt;4Q</v>
      </c>
      <c r="Q8" s="34" t="n">
        <f aca="false">L8-M8</f>
        <v>185</v>
      </c>
      <c r="R8" s="35" t="n">
        <v>6.5</v>
      </c>
      <c r="S8" s="35" t="n">
        <v>155</v>
      </c>
      <c r="T8" s="36" t="s">
        <v>44</v>
      </c>
    </row>
    <row r="9" customFormat="false" ht="36" hidden="false" customHeight="true" outlineLevel="0" collapsed="false">
      <c r="A9" s="12" t="s">
        <v>45</v>
      </c>
      <c r="B9" s="13" t="s">
        <v>46</v>
      </c>
      <c r="C9" s="14" t="s">
        <v>47</v>
      </c>
      <c r="D9" s="15" t="s">
        <v>26</v>
      </c>
      <c r="E9" s="13" t="s">
        <v>48</v>
      </c>
      <c r="F9" s="37" t="s">
        <v>49</v>
      </c>
      <c r="G9" s="13" t="s">
        <v>50</v>
      </c>
      <c r="H9" s="17" t="s">
        <v>30</v>
      </c>
      <c r="I9" s="14" t="s">
        <v>51</v>
      </c>
      <c r="J9" s="13" t="s">
        <v>52</v>
      </c>
      <c r="K9" s="13" t="s">
        <v>53</v>
      </c>
      <c r="L9" s="18" t="n">
        <v>1100</v>
      </c>
      <c r="M9" s="18" t="n">
        <v>620</v>
      </c>
      <c r="N9" s="19" t="n">
        <v>75</v>
      </c>
      <c r="O9" s="20" t="n">
        <f aca="false">IFERROR(ROUND(M9/N9,1),"N/A")</f>
        <v>8.3</v>
      </c>
      <c r="P9" s="21" t="str">
        <f aca="false">IFERROR(IF(O9="CF+","✅ CF+", IF(O9&lt;4,"🔴 &lt;4Q",IF(O9&lt;8,"🟡 4-8Q","🟢 &gt;8Q"))),"N/A")</f>
        <v>🟢 &gt;8Q</v>
      </c>
      <c r="Q9" s="22" t="n">
        <f aca="false">L9-M9</f>
        <v>480</v>
      </c>
      <c r="R9" s="23" t="n">
        <v>25</v>
      </c>
      <c r="S9" s="23" t="n">
        <v>118</v>
      </c>
      <c r="T9" s="24" t="s">
        <v>54</v>
      </c>
    </row>
    <row r="10" customFormat="false" ht="36" hidden="false" customHeight="true" outlineLevel="0" collapsed="false">
      <c r="A10" s="25" t="s">
        <v>55</v>
      </c>
      <c r="B10" s="26" t="s">
        <v>56</v>
      </c>
      <c r="C10" s="27" t="s">
        <v>25</v>
      </c>
      <c r="D10" s="15" t="s">
        <v>26</v>
      </c>
      <c r="E10" s="26" t="s">
        <v>57</v>
      </c>
      <c r="F10" s="38" t="s">
        <v>58</v>
      </c>
      <c r="G10" s="26" t="s">
        <v>59</v>
      </c>
      <c r="H10" s="39" t="s">
        <v>60</v>
      </c>
      <c r="I10" s="27" t="s">
        <v>61</v>
      </c>
      <c r="J10" s="26" t="s">
        <v>62</v>
      </c>
      <c r="K10" s="26" t="s">
        <v>43</v>
      </c>
      <c r="L10" s="30" t="n">
        <v>1850</v>
      </c>
      <c r="M10" s="30" t="n">
        <v>410</v>
      </c>
      <c r="N10" s="31" t="n">
        <v>55</v>
      </c>
      <c r="O10" s="32" t="n">
        <f aca="false">IFERROR(ROUND(M10/N10,1),"N/A")</f>
        <v>7.5</v>
      </c>
      <c r="P10" s="33" t="str">
        <f aca="false">IFERROR(IF(O10="CF+","✅ CF+", IF(O10&lt;4,"🔴 &lt;4Q",IF(O10&lt;8,"🟡 4-8Q","🟢 &gt;8Q"))),"N/A")</f>
        <v>🟡 4-8Q</v>
      </c>
      <c r="Q10" s="34" t="n">
        <f aca="false">L10-M10</f>
        <v>1440</v>
      </c>
      <c r="R10" s="35" t="n">
        <v>29.1</v>
      </c>
      <c r="S10" s="35" t="n">
        <v>38</v>
      </c>
      <c r="T10" s="36" t="s">
        <v>63</v>
      </c>
    </row>
    <row r="11" customFormat="false" ht="36" hidden="false" customHeight="true" outlineLevel="0" collapsed="false">
      <c r="A11" s="12" t="s">
        <v>64</v>
      </c>
      <c r="B11" s="13" t="s">
        <v>65</v>
      </c>
      <c r="C11" s="14" t="s">
        <v>25</v>
      </c>
      <c r="D11" s="15" t="s">
        <v>66</v>
      </c>
      <c r="E11" s="13" t="s">
        <v>67</v>
      </c>
      <c r="F11" s="38" t="s">
        <v>58</v>
      </c>
      <c r="G11" s="13" t="s">
        <v>68</v>
      </c>
      <c r="H11" s="17" t="s">
        <v>30</v>
      </c>
      <c r="I11" s="14" t="s">
        <v>69</v>
      </c>
      <c r="J11" s="13" t="s">
        <v>32</v>
      </c>
      <c r="K11" s="13" t="s">
        <v>70</v>
      </c>
      <c r="L11" s="18" t="n">
        <v>2400</v>
      </c>
      <c r="M11" s="18" t="n">
        <v>820</v>
      </c>
      <c r="N11" s="19" t="n">
        <v>90</v>
      </c>
      <c r="O11" s="20" t="n">
        <f aca="false">IFERROR(ROUND(M11/N11,1),"N/A")</f>
        <v>9.1</v>
      </c>
      <c r="P11" s="21" t="str">
        <f aca="false">IFERROR(IF(O11="CF+","✅ CF+", IF(O11&lt;4,"🔴 &lt;4Q",IF(O11&lt;8,"🟡 4-8Q","🟢 &gt;8Q"))),"N/A")</f>
        <v>🟢 &gt;8Q</v>
      </c>
      <c r="Q11" s="22" t="n">
        <f aca="false">L11-M11</f>
        <v>1580</v>
      </c>
      <c r="R11" s="23" t="n">
        <v>18</v>
      </c>
      <c r="S11" s="23" t="n">
        <v>67</v>
      </c>
      <c r="T11" s="24" t="s">
        <v>71</v>
      </c>
    </row>
    <row r="12" customFormat="false" ht="36" hidden="false" customHeight="true" outlineLevel="0" collapsed="false">
      <c r="A12" s="25" t="s">
        <v>72</v>
      </c>
      <c r="B12" s="26" t="s">
        <v>73</v>
      </c>
      <c r="C12" s="27" t="s">
        <v>25</v>
      </c>
      <c r="D12" s="15" t="s">
        <v>26</v>
      </c>
      <c r="E12" s="26" t="s">
        <v>74</v>
      </c>
      <c r="F12" s="37" t="s">
        <v>49</v>
      </c>
      <c r="G12" s="26" t="s">
        <v>75</v>
      </c>
      <c r="H12" s="15" t="s">
        <v>76</v>
      </c>
      <c r="I12" s="27" t="s">
        <v>77</v>
      </c>
      <c r="J12" s="26" t="s">
        <v>78</v>
      </c>
      <c r="K12" s="26" t="s">
        <v>79</v>
      </c>
      <c r="L12" s="30" t="n">
        <v>1200</v>
      </c>
      <c r="M12" s="30" t="n">
        <v>540</v>
      </c>
      <c r="N12" s="31" t="n">
        <v>45</v>
      </c>
      <c r="O12" s="32" t="n">
        <f aca="false">IFERROR(ROUND(M12/N12,1),"N/A")</f>
        <v>12</v>
      </c>
      <c r="P12" s="33" t="str">
        <f aca="false">IFERROR(IF(O12="CF+","✅ CF+", IF(O12&lt;4,"🔴 &lt;4Q",IF(O12&lt;8,"🟡 4-8Q","🟢 &gt;8Q"))),"N/A")</f>
        <v>🟢 &gt;8Q</v>
      </c>
      <c r="Q12" s="34" t="n">
        <f aca="false">L12-M12</f>
        <v>660</v>
      </c>
      <c r="R12" s="35" t="n">
        <v>40</v>
      </c>
      <c r="S12" s="35" t="n">
        <v>78</v>
      </c>
      <c r="T12" s="36" t="s">
        <v>80</v>
      </c>
    </row>
    <row r="13" customFormat="false" ht="36" hidden="false" customHeight="true" outlineLevel="0" collapsed="false">
      <c r="A13" s="12" t="s">
        <v>81</v>
      </c>
      <c r="B13" s="13" t="s">
        <v>82</v>
      </c>
      <c r="C13" s="14" t="s">
        <v>25</v>
      </c>
      <c r="D13" s="15" t="s">
        <v>26</v>
      </c>
      <c r="E13" s="13" t="s">
        <v>83</v>
      </c>
      <c r="F13" s="37" t="s">
        <v>49</v>
      </c>
      <c r="G13" s="13" t="s">
        <v>84</v>
      </c>
      <c r="H13" s="29" t="s">
        <v>40</v>
      </c>
      <c r="I13" s="14" t="s">
        <v>31</v>
      </c>
      <c r="J13" s="13" t="s">
        <v>42</v>
      </c>
      <c r="K13" s="13" t="s">
        <v>43</v>
      </c>
      <c r="L13" s="18" t="n">
        <v>5200</v>
      </c>
      <c r="M13" s="18" t="n">
        <v>1800</v>
      </c>
      <c r="N13" s="19" t="n">
        <v>110</v>
      </c>
      <c r="O13" s="20" t="n">
        <f aca="false">IFERROR(ROUND(M13/N13,1),"N/A")</f>
        <v>16.4</v>
      </c>
      <c r="P13" s="21" t="str">
        <f aca="false">IFERROR(IF(O13="CF+","✅ CF+", IF(O13&lt;4,"🔴 &lt;4Q",IF(O13&lt;8,"🟡 4-8Q","🟢 &gt;8Q"))),"N/A")</f>
        <v>🟢 &gt;8Q</v>
      </c>
      <c r="Q13" s="22" t="n">
        <f aca="false">L13-M13</f>
        <v>3400</v>
      </c>
      <c r="R13" s="23" t="n">
        <v>31</v>
      </c>
      <c r="S13" s="23" t="n">
        <v>62</v>
      </c>
      <c r="T13" s="24" t="s">
        <v>85</v>
      </c>
    </row>
    <row r="14" customFormat="false" ht="36" hidden="false" customHeight="true" outlineLevel="0" collapsed="false">
      <c r="A14" s="25" t="s">
        <v>86</v>
      </c>
      <c r="B14" s="26" t="s">
        <v>87</v>
      </c>
      <c r="C14" s="27" t="s">
        <v>25</v>
      </c>
      <c r="D14" s="15" t="s">
        <v>26</v>
      </c>
      <c r="E14" s="26" t="s">
        <v>88</v>
      </c>
      <c r="F14" s="40" t="s">
        <v>89</v>
      </c>
      <c r="G14" s="26" t="s">
        <v>90</v>
      </c>
      <c r="H14" s="41" t="s">
        <v>91</v>
      </c>
      <c r="I14" s="27" t="s">
        <v>61</v>
      </c>
      <c r="J14" s="26" t="s">
        <v>92</v>
      </c>
      <c r="K14" s="26" t="s">
        <v>43</v>
      </c>
      <c r="L14" s="30" t="n">
        <v>120</v>
      </c>
      <c r="M14" s="30" t="n">
        <v>85</v>
      </c>
      <c r="N14" s="31" t="n">
        <v>18</v>
      </c>
      <c r="O14" s="32" t="n">
        <f aca="false">IFERROR(ROUND(M14/N14,1),"N/A")</f>
        <v>4.7</v>
      </c>
      <c r="P14" s="33" t="str">
        <f aca="false">IFERROR(IF(O14="CF+","✅ CF+", IF(O14&lt;4,"🔴 &lt;4Q",IF(O14&lt;8,"🟡 4-8Q","🟢 &gt;8Q"))),"N/A")</f>
        <v>🟡 4-8Q</v>
      </c>
      <c r="Q14" s="34" t="n">
        <f aca="false">L14-M14</f>
        <v>35</v>
      </c>
      <c r="R14" s="35" t="n">
        <v>14.8</v>
      </c>
      <c r="S14" s="35" t="n">
        <v>12</v>
      </c>
      <c r="T14" s="36" t="s">
        <v>93</v>
      </c>
    </row>
    <row r="15" customFormat="false" ht="36" hidden="false" customHeight="true" outlineLevel="0" collapsed="false">
      <c r="A15" s="12" t="s">
        <v>94</v>
      </c>
      <c r="B15" s="13" t="s">
        <v>95</v>
      </c>
      <c r="C15" s="14" t="s">
        <v>25</v>
      </c>
      <c r="D15" s="17" t="s">
        <v>96</v>
      </c>
      <c r="E15" s="13" t="s">
        <v>97</v>
      </c>
      <c r="F15" s="40" t="s">
        <v>98</v>
      </c>
      <c r="G15" s="13" t="s">
        <v>99</v>
      </c>
      <c r="H15" s="41" t="s">
        <v>91</v>
      </c>
      <c r="I15" s="14" t="s">
        <v>100</v>
      </c>
      <c r="J15" s="13" t="s">
        <v>78</v>
      </c>
      <c r="K15" s="13" t="s">
        <v>101</v>
      </c>
      <c r="L15" s="18" t="n">
        <v>1700</v>
      </c>
      <c r="M15" s="18" t="n">
        <v>880</v>
      </c>
      <c r="N15" s="19" t="n">
        <v>70</v>
      </c>
      <c r="O15" s="20" t="n">
        <f aca="false">IFERROR(ROUND(M15/N15,1),"N/A")</f>
        <v>12.6</v>
      </c>
      <c r="P15" s="21" t="str">
        <f aca="false">IFERROR(IF(O15="CF+","✅ CF+", IF(O15&lt;4,"🔴 &lt;4Q",IF(O15&lt;8,"🟡 4-8Q","🟢 &gt;8Q"))),"N/A")</f>
        <v>🟢 &gt;8Q</v>
      </c>
      <c r="Q15" s="22" t="n">
        <f aca="false">L15-M15</f>
        <v>820</v>
      </c>
      <c r="R15" s="23" t="n">
        <v>36</v>
      </c>
      <c r="S15" s="23" t="n">
        <v>78</v>
      </c>
      <c r="T15" s="24" t="s">
        <v>102</v>
      </c>
    </row>
    <row r="16" customFormat="false" ht="36" hidden="false" customHeight="true" outlineLevel="0" collapsed="false">
      <c r="A16" s="25" t="s">
        <v>103</v>
      </c>
      <c r="B16" s="26" t="s">
        <v>104</v>
      </c>
      <c r="C16" s="27" t="s">
        <v>25</v>
      </c>
      <c r="D16" s="17" t="s">
        <v>96</v>
      </c>
      <c r="E16" s="26" t="s">
        <v>105</v>
      </c>
      <c r="F16" s="16" t="s">
        <v>106</v>
      </c>
      <c r="G16" s="26" t="s">
        <v>107</v>
      </c>
      <c r="H16" s="17" t="s">
        <v>30</v>
      </c>
      <c r="I16" s="27" t="s">
        <v>31</v>
      </c>
      <c r="J16" s="26" t="s">
        <v>32</v>
      </c>
      <c r="K16" s="26" t="s">
        <v>108</v>
      </c>
      <c r="L16" s="30" t="n">
        <v>2100</v>
      </c>
      <c r="M16" s="30" t="n">
        <v>520</v>
      </c>
      <c r="N16" s="31" t="n">
        <v>58</v>
      </c>
      <c r="O16" s="32" t="n">
        <f aca="false">IFERROR(ROUND(M16/N16,1),"N/A")</f>
        <v>9</v>
      </c>
      <c r="P16" s="33" t="str">
        <f aca="false">IFERROR(IF(O16="CF+","✅ CF+", IF(O16&lt;4,"🔴 &lt;4Q",IF(O16&lt;8,"🟡 4-8Q","🟢 &gt;8Q"))),"N/A")</f>
        <v>🟢 &gt;8Q</v>
      </c>
      <c r="Q16" s="34" t="n">
        <f aca="false">L16-M16</f>
        <v>1580</v>
      </c>
      <c r="R16" s="35" t="n">
        <v>24</v>
      </c>
      <c r="S16" s="35" t="n">
        <v>48</v>
      </c>
      <c r="T16" s="36" t="s">
        <v>109</v>
      </c>
    </row>
    <row r="17" customFormat="false" ht="36" hidden="false" customHeight="true" outlineLevel="0" collapsed="false">
      <c r="A17" s="12" t="s">
        <v>110</v>
      </c>
      <c r="B17" s="13" t="s">
        <v>111</v>
      </c>
      <c r="C17" s="14" t="s">
        <v>25</v>
      </c>
      <c r="D17" s="17" t="s">
        <v>96</v>
      </c>
      <c r="E17" s="13" t="s">
        <v>112</v>
      </c>
      <c r="F17" s="28" t="s">
        <v>38</v>
      </c>
      <c r="G17" s="13" t="s">
        <v>113</v>
      </c>
      <c r="H17" s="39" t="s">
        <v>60</v>
      </c>
      <c r="I17" s="14" t="s">
        <v>61</v>
      </c>
      <c r="J17" s="13" t="s">
        <v>114</v>
      </c>
      <c r="K17" s="13" t="s">
        <v>43</v>
      </c>
      <c r="L17" s="18" t="n">
        <v>1950</v>
      </c>
      <c r="M17" s="18" t="n">
        <v>310</v>
      </c>
      <c r="N17" s="19" t="n">
        <v>70</v>
      </c>
      <c r="O17" s="20" t="n">
        <f aca="false">IFERROR(ROUND(M17/N17,1),"N/A")</f>
        <v>4.4</v>
      </c>
      <c r="P17" s="21" t="str">
        <f aca="false">IFERROR(IF(O17="CF+","✅ CF+", IF(O17&lt;4,"🔴 &lt;4Q",IF(O17&lt;8,"🟡 4-8Q","🟢 &gt;8Q"))),"N/A")</f>
        <v>🟡 4-8Q</v>
      </c>
      <c r="Q17" s="22" t="n">
        <f aca="false">L17-M17</f>
        <v>1640</v>
      </c>
      <c r="R17" s="23" t="n">
        <v>4.4</v>
      </c>
      <c r="S17" s="23" t="n">
        <v>12.5</v>
      </c>
      <c r="T17" s="24" t="s">
        <v>115</v>
      </c>
    </row>
    <row r="18" customFormat="false" ht="36" hidden="false" customHeight="true" outlineLevel="0" collapsed="false">
      <c r="A18" s="25" t="s">
        <v>116</v>
      </c>
      <c r="B18" s="26" t="s">
        <v>117</v>
      </c>
      <c r="C18" s="27" t="s">
        <v>25</v>
      </c>
      <c r="D18" s="17" t="s">
        <v>96</v>
      </c>
      <c r="E18" s="26" t="s">
        <v>118</v>
      </c>
      <c r="F18" s="40" t="s">
        <v>89</v>
      </c>
      <c r="G18" s="26" t="s">
        <v>119</v>
      </c>
      <c r="H18" s="39" t="s">
        <v>60</v>
      </c>
      <c r="I18" s="27" t="s">
        <v>61</v>
      </c>
      <c r="J18" s="26" t="s">
        <v>120</v>
      </c>
      <c r="K18" s="26" t="s">
        <v>43</v>
      </c>
      <c r="L18" s="30" t="n">
        <v>4100</v>
      </c>
      <c r="M18" s="30" t="n">
        <v>780</v>
      </c>
      <c r="N18" s="42" t="n">
        <v>-30</v>
      </c>
      <c r="O18" s="32" t="s">
        <v>121</v>
      </c>
      <c r="P18" s="33" t="s">
        <v>122</v>
      </c>
      <c r="Q18" s="34" t="n">
        <f aca="false">L18-M18</f>
        <v>3320</v>
      </c>
      <c r="R18" s="35" t="n">
        <v>99.9</v>
      </c>
      <c r="S18" s="35" t="n">
        <v>142</v>
      </c>
      <c r="T18" s="36" t="s">
        <v>123</v>
      </c>
    </row>
    <row r="19" customFormat="false" ht="36" hidden="false" customHeight="true" outlineLevel="0" collapsed="false">
      <c r="A19" s="12" t="s">
        <v>124</v>
      </c>
      <c r="B19" s="13" t="s">
        <v>125</v>
      </c>
      <c r="C19" s="14" t="s">
        <v>25</v>
      </c>
      <c r="D19" s="17" t="s">
        <v>96</v>
      </c>
      <c r="E19" s="13" t="s">
        <v>126</v>
      </c>
      <c r="F19" s="40" t="s">
        <v>89</v>
      </c>
      <c r="G19" s="13" t="s">
        <v>127</v>
      </c>
      <c r="H19" s="17" t="s">
        <v>30</v>
      </c>
      <c r="I19" s="14" t="s">
        <v>128</v>
      </c>
      <c r="J19" s="13" t="s">
        <v>32</v>
      </c>
      <c r="K19" s="13" t="s">
        <v>43</v>
      </c>
      <c r="L19" s="18" t="n">
        <v>3200</v>
      </c>
      <c r="M19" s="18" t="n">
        <v>710</v>
      </c>
      <c r="N19" s="19" t="n">
        <v>85</v>
      </c>
      <c r="O19" s="20" t="n">
        <f aca="false">IFERROR(ROUND(M19/N19,1),"N/A")</f>
        <v>8.4</v>
      </c>
      <c r="P19" s="21" t="str">
        <f aca="false">IFERROR(IF(O19="CF+","✅ CF+", IF(O19&lt;4,"🔴 &lt;4Q",IF(O19&lt;8,"🟡 4-8Q","🟢 &gt;8Q"))),"N/A")</f>
        <v>🟢 &gt;8Q</v>
      </c>
      <c r="Q19" s="22" t="n">
        <f aca="false">L19-M19</f>
        <v>2490</v>
      </c>
      <c r="R19" s="23" t="n">
        <v>27.6</v>
      </c>
      <c r="S19" s="23" t="n">
        <v>68</v>
      </c>
      <c r="T19" s="24" t="s">
        <v>129</v>
      </c>
    </row>
    <row r="20" customFormat="false" ht="36" hidden="false" customHeight="true" outlineLevel="0" collapsed="false">
      <c r="A20" s="25" t="s">
        <v>130</v>
      </c>
      <c r="B20" s="26" t="s">
        <v>131</v>
      </c>
      <c r="C20" s="27" t="s">
        <v>25</v>
      </c>
      <c r="D20" s="17" t="s">
        <v>96</v>
      </c>
      <c r="E20" s="26" t="s">
        <v>132</v>
      </c>
      <c r="F20" s="28" t="s">
        <v>38</v>
      </c>
      <c r="G20" s="26" t="s">
        <v>133</v>
      </c>
      <c r="H20" s="39" t="s">
        <v>60</v>
      </c>
      <c r="I20" s="27" t="s">
        <v>61</v>
      </c>
      <c r="J20" s="26" t="s">
        <v>134</v>
      </c>
      <c r="K20" s="26" t="s">
        <v>43</v>
      </c>
      <c r="L20" s="30" t="n">
        <v>2100</v>
      </c>
      <c r="M20" s="30" t="n">
        <v>420</v>
      </c>
      <c r="N20" s="31" t="n">
        <v>40</v>
      </c>
      <c r="O20" s="32" t="n">
        <f aca="false">IFERROR(ROUND(M20/N20,1),"N/A")</f>
        <v>10.5</v>
      </c>
      <c r="P20" s="33" t="str">
        <f aca="false">IFERROR(IF(O20="CF+","✅ CF+", IF(O20&lt;4,"🔴 &lt;4Q",IF(O20&lt;8,"🟡 4-8Q","🟢 &gt;8Q"))),"N/A")</f>
        <v>🟢 &gt;8Q</v>
      </c>
      <c r="Q20" s="34" t="n">
        <f aca="false">L20-M20</f>
        <v>1680</v>
      </c>
      <c r="R20" s="35" t="n">
        <v>33</v>
      </c>
      <c r="S20" s="35" t="n">
        <v>70</v>
      </c>
      <c r="T20" s="36" t="s">
        <v>135</v>
      </c>
    </row>
    <row r="21" customFormat="false" ht="36" hidden="false" customHeight="true" outlineLevel="0" collapsed="false">
      <c r="A21" s="12" t="s">
        <v>136</v>
      </c>
      <c r="B21" s="13" t="s">
        <v>137</v>
      </c>
      <c r="C21" s="14" t="s">
        <v>25</v>
      </c>
      <c r="D21" s="39" t="s">
        <v>138</v>
      </c>
      <c r="E21" s="13" t="s">
        <v>139</v>
      </c>
      <c r="F21" s="37" t="s">
        <v>49</v>
      </c>
      <c r="G21" s="13" t="s">
        <v>140</v>
      </c>
      <c r="H21" s="39" t="s">
        <v>60</v>
      </c>
      <c r="I21" s="14" t="s">
        <v>61</v>
      </c>
      <c r="J21" s="13" t="s">
        <v>141</v>
      </c>
      <c r="K21" s="13" t="s">
        <v>142</v>
      </c>
      <c r="L21" s="18" t="n">
        <v>1050</v>
      </c>
      <c r="M21" s="18" t="n">
        <v>180</v>
      </c>
      <c r="N21" s="19" t="n">
        <v>30</v>
      </c>
      <c r="O21" s="20" t="n">
        <f aca="false">IFERROR(ROUND(M21/N21,1),"N/A")</f>
        <v>6</v>
      </c>
      <c r="P21" s="21" t="str">
        <f aca="false">IFERROR(IF(O21="CF+","✅ CF+", IF(O21&lt;4,"🔴 &lt;4Q",IF(O21&lt;8,"🟡 4-8Q","🟢 &gt;8Q"))),"N/A")</f>
        <v>🟡 4-8Q</v>
      </c>
      <c r="Q21" s="22" t="n">
        <f aca="false">L21-M21</f>
        <v>870</v>
      </c>
      <c r="R21" s="23" t="n">
        <v>18.7</v>
      </c>
      <c r="S21" s="23" t="n">
        <v>13</v>
      </c>
      <c r="T21" s="24" t="s">
        <v>143</v>
      </c>
    </row>
    <row r="22" customFormat="false" ht="36" hidden="false" customHeight="true" outlineLevel="0" collapsed="false">
      <c r="A22" s="25" t="s">
        <v>144</v>
      </c>
      <c r="B22" s="26" t="s">
        <v>145</v>
      </c>
      <c r="C22" s="27" t="s">
        <v>25</v>
      </c>
      <c r="D22" s="43" t="s">
        <v>146</v>
      </c>
      <c r="E22" s="26" t="s">
        <v>147</v>
      </c>
      <c r="F22" s="37" t="s">
        <v>49</v>
      </c>
      <c r="G22" s="26" t="s">
        <v>148</v>
      </c>
      <c r="H22" s="39" t="s">
        <v>60</v>
      </c>
      <c r="I22" s="27" t="s">
        <v>61</v>
      </c>
      <c r="J22" s="26" t="s">
        <v>149</v>
      </c>
      <c r="K22" s="26" t="s">
        <v>43</v>
      </c>
      <c r="L22" s="30" t="n">
        <v>4200</v>
      </c>
      <c r="M22" s="30" t="n">
        <v>920</v>
      </c>
      <c r="N22" s="31" t="n">
        <v>60</v>
      </c>
      <c r="O22" s="32" t="n">
        <f aca="false">IFERROR(ROUND(M22/N22,1),"N/A")</f>
        <v>15.3</v>
      </c>
      <c r="P22" s="33" t="str">
        <f aca="false">IFERROR(IF(O22="CF+","✅ CF+", IF(O22&lt;4,"🔴 &lt;4Q",IF(O22&lt;8,"🟡 4-8Q","🟢 &gt;8Q"))),"N/A")</f>
        <v>🟢 &gt;8Q</v>
      </c>
      <c r="Q22" s="34" t="n">
        <f aca="false">L22-M22</f>
        <v>3280</v>
      </c>
      <c r="R22" s="35" t="n">
        <v>45.3</v>
      </c>
      <c r="S22" s="35" t="n">
        <v>30</v>
      </c>
      <c r="T22" s="36" t="s">
        <v>150</v>
      </c>
    </row>
    <row r="23" customFormat="false" ht="36" hidden="false" customHeight="true" outlineLevel="0" collapsed="false">
      <c r="A23" s="12" t="s">
        <v>151</v>
      </c>
      <c r="B23" s="13" t="s">
        <v>152</v>
      </c>
      <c r="C23" s="14" t="s">
        <v>25</v>
      </c>
      <c r="D23" s="39" t="s">
        <v>138</v>
      </c>
      <c r="E23" s="13" t="s">
        <v>153</v>
      </c>
      <c r="F23" s="37" t="s">
        <v>49</v>
      </c>
      <c r="G23" s="13" t="s">
        <v>154</v>
      </c>
      <c r="H23" s="39" t="s">
        <v>60</v>
      </c>
      <c r="I23" s="14" t="s">
        <v>61</v>
      </c>
      <c r="J23" s="13" t="s">
        <v>120</v>
      </c>
      <c r="K23" s="13" t="s">
        <v>43</v>
      </c>
      <c r="L23" s="18" t="n">
        <v>2900</v>
      </c>
      <c r="M23" s="18" t="n">
        <v>650</v>
      </c>
      <c r="N23" s="19" t="n">
        <v>55</v>
      </c>
      <c r="O23" s="20" t="n">
        <f aca="false">IFERROR(ROUND(M23/N23,1),"N/A")</f>
        <v>11.8</v>
      </c>
      <c r="P23" s="21" t="str">
        <f aca="false">IFERROR(IF(O23="CF+","✅ CF+", IF(O23&lt;4,"🔴 &lt;4Q",IF(O23&lt;8,"🟡 4-8Q","🟢 &gt;8Q"))),"N/A")</f>
        <v>🟢 &gt;8Q</v>
      </c>
      <c r="Q23" s="22" t="n">
        <f aca="false">L23-M23</f>
        <v>2250</v>
      </c>
      <c r="R23" s="23" t="n">
        <v>27.2</v>
      </c>
      <c r="S23" s="23" t="n">
        <v>20</v>
      </c>
      <c r="T23" s="24" t="s">
        <v>155</v>
      </c>
    </row>
    <row r="24" customFormat="false" ht="36" hidden="false" customHeight="true" outlineLevel="0" collapsed="false">
      <c r="A24" s="25" t="s">
        <v>156</v>
      </c>
      <c r="B24" s="26" t="s">
        <v>157</v>
      </c>
      <c r="C24" s="27" t="s">
        <v>25</v>
      </c>
      <c r="D24" s="17" t="s">
        <v>96</v>
      </c>
      <c r="E24" s="26" t="s">
        <v>158</v>
      </c>
      <c r="F24" s="37" t="s">
        <v>49</v>
      </c>
      <c r="G24" s="26" t="s">
        <v>159</v>
      </c>
      <c r="H24" s="17" t="s">
        <v>30</v>
      </c>
      <c r="I24" s="27" t="s">
        <v>77</v>
      </c>
      <c r="J24" s="26" t="s">
        <v>160</v>
      </c>
      <c r="K24" s="26" t="s">
        <v>161</v>
      </c>
      <c r="L24" s="30" t="n">
        <v>108000</v>
      </c>
      <c r="M24" s="30" t="n">
        <v>11200</v>
      </c>
      <c r="N24" s="31" t="n">
        <v>350</v>
      </c>
      <c r="O24" s="32" t="n">
        <f aca="false">IFERROR(ROUND(M24/N24,1),"N/A")</f>
        <v>32</v>
      </c>
      <c r="P24" s="33" t="str">
        <f aca="false">IFERROR(IF(O24="CF+","✅ CF+", IF(O24&lt;4,"🔴 &lt;4Q",IF(O24&lt;8,"🟡 4-8Q","🟢 &gt;8Q"))),"N/A")</f>
        <v>🟢 &gt;8Q</v>
      </c>
      <c r="Q24" s="34" t="n">
        <f aca="false">L24-M24</f>
        <v>96800</v>
      </c>
      <c r="R24" s="35" t="n">
        <v>999.9</v>
      </c>
      <c r="S24" s="35" t="n">
        <v>478</v>
      </c>
      <c r="T24" s="36" t="s">
        <v>162</v>
      </c>
    </row>
    <row r="25" customFormat="false" ht="36" hidden="false" customHeight="true" outlineLevel="0" collapsed="false">
      <c r="A25" s="12" t="s">
        <v>163</v>
      </c>
      <c r="B25" s="13" t="s">
        <v>164</v>
      </c>
      <c r="C25" s="14" t="s">
        <v>25</v>
      </c>
      <c r="D25" s="44" t="s">
        <v>165</v>
      </c>
      <c r="E25" s="13" t="s">
        <v>166</v>
      </c>
      <c r="F25" s="37" t="s">
        <v>49</v>
      </c>
      <c r="G25" s="13" t="s">
        <v>167</v>
      </c>
      <c r="H25" s="17" t="s">
        <v>30</v>
      </c>
      <c r="I25" s="14" t="s">
        <v>41</v>
      </c>
      <c r="J25" s="13" t="s">
        <v>32</v>
      </c>
      <c r="K25" s="13" t="s">
        <v>43</v>
      </c>
      <c r="L25" s="18" t="n">
        <v>320</v>
      </c>
      <c r="M25" s="18" t="n">
        <v>185</v>
      </c>
      <c r="N25" s="19" t="n">
        <v>22</v>
      </c>
      <c r="O25" s="20" t="n">
        <f aca="false">IFERROR(ROUND(M25/N25,1),"N/A")</f>
        <v>8.4</v>
      </c>
      <c r="P25" s="21" t="str">
        <f aca="false">IFERROR(IF(O25="CF+","✅ CF+", IF(O25&lt;4,"🔴 &lt;4Q",IF(O25&lt;8,"🟡 4-8Q","🟢 &gt;8Q"))),"N/A")</f>
        <v>🟢 &gt;8Q</v>
      </c>
      <c r="Q25" s="22" t="n">
        <f aca="false">L25-M25</f>
        <v>135</v>
      </c>
      <c r="R25" s="23" t="n">
        <v>24</v>
      </c>
      <c r="S25" s="23" t="n">
        <v>18</v>
      </c>
      <c r="T25" s="24" t="s">
        <v>168</v>
      </c>
    </row>
    <row r="26" customFormat="false" ht="36" hidden="false" customHeight="true" outlineLevel="0" collapsed="false">
      <c r="A26" s="25" t="s">
        <v>169</v>
      </c>
      <c r="B26" s="26" t="s">
        <v>170</v>
      </c>
      <c r="C26" s="27" t="s">
        <v>25</v>
      </c>
      <c r="D26" s="44" t="s">
        <v>165</v>
      </c>
      <c r="E26" s="26" t="s">
        <v>171</v>
      </c>
      <c r="F26" s="37" t="s">
        <v>49</v>
      </c>
      <c r="G26" s="26" t="s">
        <v>172</v>
      </c>
      <c r="H26" s="17" t="s">
        <v>30</v>
      </c>
      <c r="I26" s="27" t="s">
        <v>31</v>
      </c>
      <c r="J26" s="26" t="s">
        <v>32</v>
      </c>
      <c r="K26" s="26" t="s">
        <v>43</v>
      </c>
      <c r="L26" s="30" t="n">
        <v>1600</v>
      </c>
      <c r="M26" s="30" t="n">
        <v>590</v>
      </c>
      <c r="N26" s="31" t="n">
        <v>55</v>
      </c>
      <c r="O26" s="32" t="n">
        <f aca="false">IFERROR(ROUND(M26/N26,1),"N/A")</f>
        <v>10.7</v>
      </c>
      <c r="P26" s="33" t="str">
        <f aca="false">IFERROR(IF(O26="CF+","✅ CF+", IF(O26&lt;4,"🔴 &lt;4Q",IF(O26&lt;8,"🟡 4-8Q","🟢 &gt;8Q"))),"N/A")</f>
        <v>🟢 &gt;8Q</v>
      </c>
      <c r="Q26" s="34" t="n">
        <f aca="false">L26-M26</f>
        <v>1010</v>
      </c>
      <c r="R26" s="35" t="n">
        <v>27.3</v>
      </c>
      <c r="S26" s="35" t="n">
        <v>60</v>
      </c>
      <c r="T26" s="36" t="s">
        <v>173</v>
      </c>
    </row>
    <row r="27" customFormat="false" ht="36" hidden="false" customHeight="true" outlineLevel="0" collapsed="false">
      <c r="A27" s="12" t="s">
        <v>174</v>
      </c>
      <c r="B27" s="13" t="s">
        <v>175</v>
      </c>
      <c r="C27" s="14" t="s">
        <v>25</v>
      </c>
      <c r="D27" s="44" t="s">
        <v>165</v>
      </c>
      <c r="E27" s="13" t="s">
        <v>176</v>
      </c>
      <c r="F27" s="37" t="s">
        <v>49</v>
      </c>
      <c r="G27" s="13" t="s">
        <v>177</v>
      </c>
      <c r="H27" s="29" t="s">
        <v>40</v>
      </c>
      <c r="I27" s="14" t="s">
        <v>61</v>
      </c>
      <c r="J27" s="13" t="s">
        <v>42</v>
      </c>
      <c r="K27" s="13" t="s">
        <v>178</v>
      </c>
      <c r="L27" s="18" t="n">
        <v>750</v>
      </c>
      <c r="M27" s="18" t="n">
        <v>480</v>
      </c>
      <c r="N27" s="19" t="n">
        <v>55</v>
      </c>
      <c r="O27" s="20" t="n">
        <f aca="false">IFERROR(ROUND(M27/N27,1),"N/A")</f>
        <v>8.7</v>
      </c>
      <c r="P27" s="21" t="str">
        <f aca="false">IFERROR(IF(O27="CF+","✅ CF+", IF(O27&lt;4,"🔴 &lt;4Q",IF(O27&lt;8,"🟡 4-8Q","🟢 &gt;8Q"))),"N/A")</f>
        <v>🟢 &gt;8Q</v>
      </c>
      <c r="Q27" s="22" t="n">
        <f aca="false">L27-M27</f>
        <v>270</v>
      </c>
      <c r="R27" s="23" t="n">
        <v>24.4</v>
      </c>
      <c r="S27" s="23" t="n">
        <v>14.5</v>
      </c>
      <c r="T27" s="24" t="s">
        <v>179</v>
      </c>
    </row>
    <row r="28" customFormat="false" ht="36" hidden="false" customHeight="true" outlineLevel="0" collapsed="false">
      <c r="A28" s="25" t="s">
        <v>180</v>
      </c>
      <c r="B28" s="26" t="s">
        <v>181</v>
      </c>
      <c r="C28" s="27" t="s">
        <v>25</v>
      </c>
      <c r="D28" s="44" t="s">
        <v>182</v>
      </c>
      <c r="E28" s="26" t="s">
        <v>183</v>
      </c>
      <c r="F28" s="28" t="s">
        <v>38</v>
      </c>
      <c r="G28" s="26" t="s">
        <v>184</v>
      </c>
      <c r="H28" s="17" t="s">
        <v>30</v>
      </c>
      <c r="I28" s="27" t="s">
        <v>100</v>
      </c>
      <c r="J28" s="26" t="s">
        <v>185</v>
      </c>
      <c r="K28" s="26" t="s">
        <v>186</v>
      </c>
      <c r="L28" s="30" t="n">
        <v>2200</v>
      </c>
      <c r="M28" s="30" t="n">
        <v>510</v>
      </c>
      <c r="N28" s="31" t="n">
        <v>45</v>
      </c>
      <c r="O28" s="32" t="n">
        <f aca="false">IFERROR(ROUND(M28/N28,1),"N/A")</f>
        <v>11.3</v>
      </c>
      <c r="P28" s="33" t="str">
        <f aca="false">IFERROR(IF(O28="CF+","✅ CF+", IF(O28&lt;4,"🔴 &lt;4Q",IF(O28&lt;8,"🟡 4-8Q","🟢 &gt;8Q"))),"N/A")</f>
        <v>🟢 &gt;8Q</v>
      </c>
      <c r="Q28" s="34" t="n">
        <f aca="false">L28-M28</f>
        <v>1690</v>
      </c>
      <c r="R28" s="35" t="n">
        <v>28.6</v>
      </c>
      <c r="S28" s="35" t="n">
        <v>75</v>
      </c>
      <c r="T28" s="36" t="s">
        <v>187</v>
      </c>
    </row>
    <row r="29" customFormat="false" ht="36" hidden="false" customHeight="true" outlineLevel="0" collapsed="false">
      <c r="A29" s="12" t="s">
        <v>188</v>
      </c>
      <c r="B29" s="13" t="s">
        <v>189</v>
      </c>
      <c r="C29" s="14" t="s">
        <v>25</v>
      </c>
      <c r="D29" s="44" t="s">
        <v>165</v>
      </c>
      <c r="E29" s="13" t="s">
        <v>190</v>
      </c>
      <c r="F29" s="37" t="s">
        <v>49</v>
      </c>
      <c r="G29" s="13" t="s">
        <v>191</v>
      </c>
      <c r="H29" s="17" t="s">
        <v>30</v>
      </c>
      <c r="I29" s="14" t="s">
        <v>77</v>
      </c>
      <c r="J29" s="13" t="s">
        <v>32</v>
      </c>
      <c r="K29" s="13" t="s">
        <v>192</v>
      </c>
      <c r="L29" s="18" t="n">
        <v>8700</v>
      </c>
      <c r="M29" s="18" t="n">
        <v>1200</v>
      </c>
      <c r="N29" s="19" t="n">
        <v>80</v>
      </c>
      <c r="O29" s="20" t="n">
        <f aca="false">IFERROR(ROUND(M29/N29,1),"N/A")</f>
        <v>15</v>
      </c>
      <c r="P29" s="21" t="str">
        <f aca="false">IFERROR(IF(O29="CF+","✅ CF+", IF(O29&lt;4,"🔴 &lt;4Q",IF(O29&lt;8,"🟡 4-8Q","🟢 &gt;8Q"))),"N/A")</f>
        <v>🟢 &gt;8Q</v>
      </c>
      <c r="Q29" s="22" t="n">
        <f aca="false">L29-M29</f>
        <v>7500</v>
      </c>
      <c r="R29" s="23" t="n">
        <v>45</v>
      </c>
      <c r="S29" s="23" t="n">
        <v>215</v>
      </c>
      <c r="T29" s="24" t="s">
        <v>193</v>
      </c>
    </row>
    <row r="30" customFormat="false" ht="36" hidden="false" customHeight="true" outlineLevel="0" collapsed="false">
      <c r="A30" s="25" t="s">
        <v>194</v>
      </c>
      <c r="B30" s="26" t="s">
        <v>195</v>
      </c>
      <c r="C30" s="27" t="s">
        <v>25</v>
      </c>
      <c r="D30" s="29" t="s">
        <v>196</v>
      </c>
      <c r="E30" s="26" t="s">
        <v>197</v>
      </c>
      <c r="F30" s="37" t="s">
        <v>49</v>
      </c>
      <c r="G30" s="26" t="s">
        <v>198</v>
      </c>
      <c r="H30" s="39" t="s">
        <v>60</v>
      </c>
      <c r="I30" s="27" t="s">
        <v>61</v>
      </c>
      <c r="J30" s="26" t="s">
        <v>120</v>
      </c>
      <c r="K30" s="26" t="s">
        <v>43</v>
      </c>
      <c r="L30" s="30" t="n">
        <v>5800</v>
      </c>
      <c r="M30" s="30" t="n">
        <v>980</v>
      </c>
      <c r="N30" s="31" t="n">
        <v>75</v>
      </c>
      <c r="O30" s="32" t="n">
        <f aca="false">IFERROR(ROUND(M30/N30,1),"N/A")</f>
        <v>13.1</v>
      </c>
      <c r="P30" s="33" t="str">
        <f aca="false">IFERROR(IF(O30="CF+","✅ CF+", IF(O30&lt;4,"🔴 &lt;4Q",IF(O30&lt;8,"🟡 4-8Q","🟢 &gt;8Q"))),"N/A")</f>
        <v>🟢 &gt;8Q</v>
      </c>
      <c r="Q30" s="34" t="n">
        <f aca="false">L30-M30</f>
        <v>4820</v>
      </c>
      <c r="R30" s="35" t="n">
        <v>24.8</v>
      </c>
      <c r="S30" s="35" t="n">
        <v>342</v>
      </c>
      <c r="T30" s="36" t="s">
        <v>199</v>
      </c>
    </row>
    <row r="31" customFormat="false" ht="36" hidden="false" customHeight="true" outlineLevel="0" collapsed="false">
      <c r="A31" s="12" t="s">
        <v>200</v>
      </c>
      <c r="B31" s="13" t="s">
        <v>201</v>
      </c>
      <c r="C31" s="14" t="s">
        <v>25</v>
      </c>
      <c r="D31" s="29" t="s">
        <v>196</v>
      </c>
      <c r="E31" s="13" t="s">
        <v>202</v>
      </c>
      <c r="F31" s="37" t="s">
        <v>49</v>
      </c>
      <c r="G31" s="13" t="s">
        <v>203</v>
      </c>
      <c r="H31" s="39" t="s">
        <v>60</v>
      </c>
      <c r="I31" s="14" t="s">
        <v>61</v>
      </c>
      <c r="J31" s="13" t="s">
        <v>141</v>
      </c>
      <c r="K31" s="13" t="s">
        <v>204</v>
      </c>
      <c r="L31" s="18" t="n">
        <v>420</v>
      </c>
      <c r="M31" s="18" t="n">
        <v>120</v>
      </c>
      <c r="N31" s="19" t="n">
        <v>35</v>
      </c>
      <c r="O31" s="20" t="n">
        <f aca="false">IFERROR(ROUND(M31/N31,1),"N/A")</f>
        <v>3.4</v>
      </c>
      <c r="P31" s="21" t="str">
        <f aca="false">IFERROR(IF(O31="CF+","✅ CF+", IF(O31&lt;4,"🔴 &lt;4Q",IF(O31&lt;8,"🟡 4-8Q","🟢 &gt;8Q"))),"N/A")</f>
        <v>🔴 &lt;4Q</v>
      </c>
      <c r="Q31" s="22" t="n">
        <f aca="false">L31-M31</f>
        <v>300</v>
      </c>
      <c r="R31" s="23" t="n">
        <v>10.5</v>
      </c>
      <c r="S31" s="23" t="n">
        <v>14</v>
      </c>
      <c r="T31" s="24" t="s">
        <v>205</v>
      </c>
    </row>
    <row r="32" customFormat="false" ht="36" hidden="false" customHeight="true" outlineLevel="0" collapsed="false">
      <c r="A32" s="25" t="s">
        <v>206</v>
      </c>
      <c r="B32" s="26" t="s">
        <v>207</v>
      </c>
      <c r="C32" s="27" t="s">
        <v>25</v>
      </c>
      <c r="D32" s="15" t="s">
        <v>208</v>
      </c>
      <c r="E32" s="26" t="s">
        <v>209</v>
      </c>
      <c r="F32" s="37" t="s">
        <v>49</v>
      </c>
      <c r="G32" s="26" t="s">
        <v>210</v>
      </c>
      <c r="H32" s="41" t="s">
        <v>91</v>
      </c>
      <c r="I32" s="27" t="s">
        <v>31</v>
      </c>
      <c r="J32" s="26" t="s">
        <v>211</v>
      </c>
      <c r="K32" s="26" t="s">
        <v>43</v>
      </c>
      <c r="L32" s="30" t="n">
        <v>3400</v>
      </c>
      <c r="M32" s="30" t="n">
        <v>1100</v>
      </c>
      <c r="N32" s="31" t="n">
        <v>55</v>
      </c>
      <c r="O32" s="32" t="n">
        <f aca="false">IFERROR(ROUND(M32/N32,1),"N/A")</f>
        <v>20</v>
      </c>
      <c r="P32" s="33" t="str">
        <f aca="false">IFERROR(IF(O32="CF+","✅ CF+", IF(O32&lt;4,"🔴 &lt;4Q",IF(O32&lt;8,"🟡 4-8Q","🟢 &gt;8Q"))),"N/A")</f>
        <v>🟢 &gt;8Q</v>
      </c>
      <c r="Q32" s="34" t="n">
        <f aca="false">L32-M32</f>
        <v>2300</v>
      </c>
      <c r="R32" s="35" t="n">
        <v>57</v>
      </c>
      <c r="S32" s="35" t="n">
        <v>80</v>
      </c>
      <c r="T32" s="36" t="s">
        <v>212</v>
      </c>
    </row>
    <row r="33" customFormat="false" ht="36" hidden="false" customHeight="true" outlineLevel="0" collapsed="false">
      <c r="A33" s="12" t="s">
        <v>213</v>
      </c>
      <c r="B33" s="13" t="s">
        <v>214</v>
      </c>
      <c r="C33" s="14" t="s">
        <v>25</v>
      </c>
      <c r="D33" s="29" t="s">
        <v>196</v>
      </c>
      <c r="E33" s="13" t="s">
        <v>215</v>
      </c>
      <c r="F33" s="28" t="s">
        <v>38</v>
      </c>
      <c r="G33" s="13" t="s">
        <v>216</v>
      </c>
      <c r="H33" s="39" t="s">
        <v>60</v>
      </c>
      <c r="I33" s="14" t="s">
        <v>61</v>
      </c>
      <c r="J33" s="13" t="s">
        <v>217</v>
      </c>
      <c r="K33" s="13" t="s">
        <v>218</v>
      </c>
      <c r="L33" s="18" t="n">
        <v>5200</v>
      </c>
      <c r="M33" s="18" t="n">
        <v>820</v>
      </c>
      <c r="N33" s="45" t="n">
        <v>-60</v>
      </c>
      <c r="O33" s="20" t="s">
        <v>121</v>
      </c>
      <c r="P33" s="21" t="s">
        <v>122</v>
      </c>
      <c r="Q33" s="22" t="n">
        <f aca="false">L33-M33</f>
        <v>4380</v>
      </c>
      <c r="R33" s="23" t="n">
        <v>99.9</v>
      </c>
      <c r="S33" s="23" t="n">
        <v>52</v>
      </c>
      <c r="T33" s="24" t="s">
        <v>219</v>
      </c>
    </row>
    <row r="34" customFormat="false" ht="36" hidden="false" customHeight="true" outlineLevel="0" collapsed="false">
      <c r="A34" s="25" t="s">
        <v>220</v>
      </c>
      <c r="B34" s="26" t="s">
        <v>221</v>
      </c>
      <c r="C34" s="27" t="s">
        <v>47</v>
      </c>
      <c r="D34" s="29" t="s">
        <v>196</v>
      </c>
      <c r="E34" s="26" t="s">
        <v>222</v>
      </c>
      <c r="F34" s="37" t="s">
        <v>49</v>
      </c>
      <c r="G34" s="26" t="s">
        <v>223</v>
      </c>
      <c r="H34" s="39" t="s">
        <v>60</v>
      </c>
      <c r="I34" s="27" t="s">
        <v>61</v>
      </c>
      <c r="J34" s="26" t="s">
        <v>224</v>
      </c>
      <c r="K34" s="26" t="s">
        <v>43</v>
      </c>
      <c r="L34" s="30" t="n">
        <v>1100</v>
      </c>
      <c r="M34" s="30" t="n">
        <v>210</v>
      </c>
      <c r="N34" s="31" t="n">
        <v>45</v>
      </c>
      <c r="O34" s="32" t="n">
        <f aca="false">IFERROR(ROUND(M34/N34,1),"N/A")</f>
        <v>4.7</v>
      </c>
      <c r="P34" s="33" t="str">
        <f aca="false">IFERROR(IF(O34="CF+","✅ CF+", IF(O34&lt;4,"🔴 &lt;4Q",IF(O34&lt;8,"🟡 4-8Q","🟢 &gt;8Q"))),"N/A")</f>
        <v>🟡 4-8Q</v>
      </c>
      <c r="Q34" s="34" t="n">
        <f aca="false">L34-M34</f>
        <v>890</v>
      </c>
      <c r="R34" s="35" t="n">
        <v>16.6</v>
      </c>
      <c r="S34" s="35" t="n">
        <v>10.5</v>
      </c>
      <c r="T34" s="36" t="s">
        <v>225</v>
      </c>
    </row>
    <row r="35" customFormat="false" ht="36" hidden="false" customHeight="true" outlineLevel="0" collapsed="false">
      <c r="A35" s="12" t="s">
        <v>226</v>
      </c>
      <c r="B35" s="13" t="s">
        <v>227</v>
      </c>
      <c r="C35" s="14" t="s">
        <v>25</v>
      </c>
      <c r="D35" s="29" t="s">
        <v>196</v>
      </c>
      <c r="E35" s="13" t="s">
        <v>228</v>
      </c>
      <c r="F35" s="37" t="s">
        <v>49</v>
      </c>
      <c r="G35" s="13" t="s">
        <v>229</v>
      </c>
      <c r="H35" s="29" t="s">
        <v>40</v>
      </c>
      <c r="I35" s="14" t="s">
        <v>31</v>
      </c>
      <c r="J35" s="13" t="s">
        <v>42</v>
      </c>
      <c r="K35" s="13" t="s">
        <v>43</v>
      </c>
      <c r="L35" s="18" t="n">
        <v>480</v>
      </c>
      <c r="M35" s="18" t="n">
        <v>270</v>
      </c>
      <c r="N35" s="19" t="n">
        <v>30</v>
      </c>
      <c r="O35" s="20" t="n">
        <f aca="false">IFERROR(ROUND(M35/N35,1),"N/A")</f>
        <v>9</v>
      </c>
      <c r="P35" s="21" t="str">
        <f aca="false">IFERROR(IF(O35="CF+","✅ CF+", IF(O35&lt;4,"🔴 &lt;4Q",IF(O35&lt;8,"🟡 4-8Q","🟢 &gt;8Q"))),"N/A")</f>
        <v>🟢 &gt;8Q</v>
      </c>
      <c r="Q35" s="22" t="n">
        <f aca="false">L35-M35</f>
        <v>210</v>
      </c>
      <c r="R35" s="23" t="n">
        <v>22.5</v>
      </c>
      <c r="S35" s="23" t="n">
        <v>14</v>
      </c>
      <c r="T35" s="24" t="s">
        <v>230</v>
      </c>
    </row>
    <row r="36" customFormat="false" ht="36" hidden="false" customHeight="true" outlineLevel="0" collapsed="false">
      <c r="A36" s="25" t="s">
        <v>231</v>
      </c>
      <c r="B36" s="26" t="s">
        <v>232</v>
      </c>
      <c r="C36" s="27" t="s">
        <v>233</v>
      </c>
      <c r="D36" s="29" t="s">
        <v>196</v>
      </c>
      <c r="E36" s="26" t="s">
        <v>234</v>
      </c>
      <c r="F36" s="37" t="s">
        <v>49</v>
      </c>
      <c r="G36" s="26" t="s">
        <v>235</v>
      </c>
      <c r="H36" s="29" t="s">
        <v>40</v>
      </c>
      <c r="I36" s="27" t="s">
        <v>61</v>
      </c>
      <c r="J36" s="26" t="s">
        <v>236</v>
      </c>
      <c r="K36" s="26" t="s">
        <v>43</v>
      </c>
      <c r="L36" s="30" t="n">
        <v>85</v>
      </c>
      <c r="M36" s="30" t="n">
        <v>42</v>
      </c>
      <c r="N36" s="31" t="n">
        <v>8</v>
      </c>
      <c r="O36" s="32" t="n">
        <f aca="false">IFERROR(ROUND(M36/N36,1),"N/A")</f>
        <v>5.3</v>
      </c>
      <c r="P36" s="33" t="str">
        <f aca="false">IFERROR(IF(O36="CF+","✅ CF+", IF(O36&lt;4,"🔴 &lt;4Q",IF(O36&lt;8,"🟡 4-8Q","🟢 &gt;8Q"))),"N/A")</f>
        <v>🟡 4-8Q</v>
      </c>
      <c r="Q36" s="34" t="n">
        <f aca="false">L36-M36</f>
        <v>43</v>
      </c>
      <c r="R36" s="35" t="n">
        <v>14.4</v>
      </c>
      <c r="S36" s="35" t="n">
        <v>5.5</v>
      </c>
      <c r="T36" s="36" t="s">
        <v>237</v>
      </c>
    </row>
  </sheetData>
  <autoFilter ref="A6:T6"/>
  <mergeCells count="5">
    <mergeCell ref="A1:T1"/>
    <mergeCell ref="A2:T2"/>
    <mergeCell ref="A3:T3"/>
    <mergeCell ref="A4:T4"/>
    <mergeCell ref="A5:T5"/>
  </mergeCells>
  <conditionalFormatting sqref="O7:O36">
    <cfRule type="cellIs" priority="2" operator="lessThan" aboveAverage="0" equalAverage="0" bottom="0" percent="0" rank="0" text="" dxfId="7">
      <formula>4</formula>
    </cfRule>
    <cfRule type="cellIs" priority="3" operator="between" aboveAverage="0" equalAverage="0" bottom="0" percent="0" rank="0" text="" dxfId="8">
      <formula>4</formula>
      <formula>8</formula>
    </cfRule>
    <cfRule type="cellIs" priority="4" operator="greaterThan" aboveAverage="0" equalAverage="0" bottom="0" percent="0" rank="0" text="" dxfId="9">
      <formula>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7E8C"/>
    <pageSetUpPr fitToPage="false"/>
  </sheetPr>
  <dimension ref="A1:R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2" min="11" style="1" width="16"/>
    <col collapsed="false" customWidth="true" hidden="false" outlineLevel="0" max="13" min="13" style="1" width="20"/>
    <col collapsed="false" customWidth="true" hidden="false" outlineLevel="0" max="14" min="14" style="1" width="14"/>
    <col collapsed="false" customWidth="true" hidden="false" outlineLevel="0" max="15" min="15" style="1" width="13"/>
    <col collapsed="false" customWidth="true" hidden="false" outlineLevel="0" max="16" min="16" style="1" width="14"/>
    <col collapsed="false" customWidth="true" hidden="false" outlineLevel="0" max="17" min="17" style="1" width="12"/>
    <col collapsed="false" customWidth="true" hidden="false" outlineLevel="0" max="18" min="18" style="1" width="30"/>
  </cols>
  <sheetData>
    <row r="1" customFormat="false" ht="7.5" hidden="false" customHeight="true" outlineLevel="0" collapsed="false"/>
    <row r="2" customFormat="false" ht="36" hidden="false" customHeight="true" outlineLevel="0" collapsed="false">
      <c r="A2" s="46" t="s">
        <v>238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</row>
    <row r="3" customFormat="false" ht="18" hidden="false" customHeight="true" outlineLevel="0" collapsed="false">
      <c r="A3" s="47" t="s">
        <v>239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</row>
    <row r="4" customFormat="false" ht="6" hidden="false" customHeight="true" outlineLevel="0" collapsed="false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</row>
    <row r="5" customFormat="false" ht="39.75" hidden="false" customHeight="true" outlineLevel="0" collapsed="false">
      <c r="A5" s="7" t="s">
        <v>3</v>
      </c>
      <c r="B5" s="7" t="s">
        <v>240</v>
      </c>
      <c r="C5" s="7" t="s">
        <v>241</v>
      </c>
      <c r="D5" s="7" t="s">
        <v>242</v>
      </c>
      <c r="E5" s="7" t="s">
        <v>8</v>
      </c>
      <c r="F5" s="7" t="s">
        <v>243</v>
      </c>
      <c r="G5" s="7" t="s">
        <v>6</v>
      </c>
      <c r="H5" s="7" t="s">
        <v>244</v>
      </c>
      <c r="I5" s="7" t="s">
        <v>245</v>
      </c>
      <c r="J5" s="7" t="s">
        <v>246</v>
      </c>
      <c r="K5" s="7" t="s">
        <v>247</v>
      </c>
      <c r="L5" s="7" t="s">
        <v>248</v>
      </c>
      <c r="M5" s="7" t="s">
        <v>249</v>
      </c>
      <c r="N5" s="7" t="s">
        <v>250</v>
      </c>
      <c r="O5" s="7" t="s">
        <v>251</v>
      </c>
      <c r="P5" s="7" t="s">
        <v>252</v>
      </c>
      <c r="Q5" s="7" t="s">
        <v>253</v>
      </c>
      <c r="R5" s="7" t="s">
        <v>254</v>
      </c>
    </row>
    <row r="6" customFormat="false" ht="33.75" hidden="false" customHeight="true" outlineLevel="0" collapsed="false">
      <c r="A6" s="49" t="s">
        <v>23</v>
      </c>
      <c r="B6" s="50" t="s">
        <v>24</v>
      </c>
      <c r="C6" s="49" t="s">
        <v>29</v>
      </c>
      <c r="D6" s="49" t="s">
        <v>255</v>
      </c>
      <c r="E6" s="49" t="s">
        <v>28</v>
      </c>
      <c r="F6" s="49" t="s">
        <v>256</v>
      </c>
      <c r="G6" s="49" t="s">
        <v>26</v>
      </c>
      <c r="H6" s="50" t="s">
        <v>257</v>
      </c>
      <c r="I6" s="49" t="s">
        <v>258</v>
      </c>
      <c r="J6" s="49" t="s">
        <v>30</v>
      </c>
      <c r="K6" s="49" t="s">
        <v>259</v>
      </c>
      <c r="L6" s="49" t="s">
        <v>31</v>
      </c>
      <c r="M6" s="49" t="s">
        <v>33</v>
      </c>
      <c r="N6" s="49" t="s">
        <v>260</v>
      </c>
      <c r="O6" s="49" t="s">
        <v>261</v>
      </c>
      <c r="P6" s="49" t="s">
        <v>262</v>
      </c>
      <c r="Q6" s="49" t="s">
        <v>258</v>
      </c>
      <c r="R6" s="50" t="s">
        <v>263</v>
      </c>
    </row>
    <row r="7" customFormat="false" ht="33.75" hidden="false" customHeight="true" outlineLevel="0" collapsed="false">
      <c r="A7" s="51" t="s">
        <v>94</v>
      </c>
      <c r="B7" s="52" t="s">
        <v>95</v>
      </c>
      <c r="C7" s="51" t="s">
        <v>99</v>
      </c>
      <c r="D7" s="51" t="s">
        <v>99</v>
      </c>
      <c r="E7" s="51" t="s">
        <v>98</v>
      </c>
      <c r="F7" s="51" t="s">
        <v>264</v>
      </c>
      <c r="G7" s="51" t="s">
        <v>96</v>
      </c>
      <c r="H7" s="52" t="s">
        <v>88</v>
      </c>
      <c r="I7" s="51" t="s">
        <v>265</v>
      </c>
      <c r="J7" s="51" t="s">
        <v>91</v>
      </c>
      <c r="K7" s="51" t="s">
        <v>266</v>
      </c>
      <c r="L7" s="51" t="s">
        <v>100</v>
      </c>
      <c r="M7" s="51" t="s">
        <v>267</v>
      </c>
      <c r="N7" s="51" t="s">
        <v>268</v>
      </c>
      <c r="O7" s="51" t="n">
        <v>300</v>
      </c>
      <c r="P7" s="51" t="s">
        <v>262</v>
      </c>
      <c r="Q7" s="51" t="s">
        <v>258</v>
      </c>
      <c r="R7" s="52" t="s">
        <v>269</v>
      </c>
    </row>
    <row r="8" customFormat="false" ht="33.75" hidden="false" customHeight="true" outlineLevel="0" collapsed="false">
      <c r="A8" s="49" t="s">
        <v>103</v>
      </c>
      <c r="B8" s="50" t="s">
        <v>270</v>
      </c>
      <c r="C8" s="49" t="s">
        <v>107</v>
      </c>
      <c r="D8" s="49" t="s">
        <v>271</v>
      </c>
      <c r="E8" s="49" t="s">
        <v>106</v>
      </c>
      <c r="F8" s="49" t="s">
        <v>272</v>
      </c>
      <c r="G8" s="49" t="s">
        <v>196</v>
      </c>
      <c r="H8" s="50" t="s">
        <v>273</v>
      </c>
      <c r="I8" s="49" t="s">
        <v>265</v>
      </c>
      <c r="J8" s="49" t="s">
        <v>30</v>
      </c>
      <c r="K8" s="49" t="s">
        <v>274</v>
      </c>
      <c r="L8" s="49" t="s">
        <v>31</v>
      </c>
      <c r="M8" s="49" t="s">
        <v>108</v>
      </c>
      <c r="N8" s="49" t="s">
        <v>275</v>
      </c>
      <c r="O8" s="49" t="s">
        <v>261</v>
      </c>
      <c r="P8" s="49" t="s">
        <v>262</v>
      </c>
      <c r="Q8" s="49" t="s">
        <v>258</v>
      </c>
      <c r="R8" s="50" t="s">
        <v>276</v>
      </c>
    </row>
    <row r="9" customFormat="false" ht="33.75" hidden="false" customHeight="true" outlineLevel="0" collapsed="false">
      <c r="A9" s="51" t="s">
        <v>81</v>
      </c>
      <c r="B9" s="52" t="s">
        <v>82</v>
      </c>
      <c r="C9" s="51" t="s">
        <v>84</v>
      </c>
      <c r="D9" s="51" t="s">
        <v>84</v>
      </c>
      <c r="E9" s="51" t="s">
        <v>49</v>
      </c>
      <c r="F9" s="51" t="s">
        <v>277</v>
      </c>
      <c r="G9" s="51" t="s">
        <v>26</v>
      </c>
      <c r="H9" s="52" t="s">
        <v>278</v>
      </c>
      <c r="I9" s="51" t="s">
        <v>258</v>
      </c>
      <c r="J9" s="51" t="s">
        <v>40</v>
      </c>
      <c r="K9" s="51" t="s">
        <v>279</v>
      </c>
      <c r="L9" s="51" t="s">
        <v>31</v>
      </c>
      <c r="M9" s="51" t="s">
        <v>43</v>
      </c>
      <c r="N9" s="51" t="s">
        <v>280</v>
      </c>
      <c r="O9" s="51" t="s">
        <v>280</v>
      </c>
      <c r="P9" s="51" t="s">
        <v>262</v>
      </c>
      <c r="Q9" s="51" t="s">
        <v>258</v>
      </c>
      <c r="R9" s="52" t="s">
        <v>281</v>
      </c>
    </row>
    <row r="10" customFormat="false" ht="33.75" hidden="false" customHeight="true" outlineLevel="0" collapsed="false">
      <c r="A10" s="49" t="s">
        <v>156</v>
      </c>
      <c r="B10" s="50" t="s">
        <v>282</v>
      </c>
      <c r="C10" s="49" t="s">
        <v>159</v>
      </c>
      <c r="D10" s="49" t="s">
        <v>283</v>
      </c>
      <c r="E10" s="49" t="s">
        <v>49</v>
      </c>
      <c r="F10" s="49" t="s">
        <v>284</v>
      </c>
      <c r="G10" s="49" t="s">
        <v>96</v>
      </c>
      <c r="H10" s="50" t="s">
        <v>285</v>
      </c>
      <c r="I10" s="49" t="s">
        <v>265</v>
      </c>
      <c r="J10" s="49" t="s">
        <v>30</v>
      </c>
      <c r="K10" s="49" t="s">
        <v>286</v>
      </c>
      <c r="L10" s="49" t="s">
        <v>77</v>
      </c>
      <c r="M10" s="49" t="s">
        <v>43</v>
      </c>
      <c r="N10" s="49" t="s">
        <v>280</v>
      </c>
      <c r="O10" s="49" t="s">
        <v>280</v>
      </c>
      <c r="P10" s="49" t="s">
        <v>287</v>
      </c>
      <c r="Q10" s="49" t="s">
        <v>265</v>
      </c>
      <c r="R10" s="50" t="s">
        <v>288</v>
      </c>
    </row>
    <row r="11" customFormat="false" ht="33.75" hidden="false" customHeight="true" outlineLevel="0" collapsed="false">
      <c r="A11" s="51" t="s">
        <v>194</v>
      </c>
      <c r="B11" s="52" t="s">
        <v>289</v>
      </c>
      <c r="C11" s="51" t="s">
        <v>198</v>
      </c>
      <c r="D11" s="51" t="s">
        <v>290</v>
      </c>
      <c r="E11" s="51" t="s">
        <v>49</v>
      </c>
      <c r="F11" s="51" t="s">
        <v>291</v>
      </c>
      <c r="G11" s="51" t="s">
        <v>196</v>
      </c>
      <c r="H11" s="52" t="s">
        <v>292</v>
      </c>
      <c r="I11" s="51" t="s">
        <v>258</v>
      </c>
      <c r="J11" s="51" t="s">
        <v>60</v>
      </c>
      <c r="K11" s="51" t="s">
        <v>262</v>
      </c>
      <c r="L11" s="51" t="s">
        <v>293</v>
      </c>
      <c r="M11" s="51" t="s">
        <v>43</v>
      </c>
      <c r="N11" s="51" t="s">
        <v>280</v>
      </c>
      <c r="O11" s="51" t="s">
        <v>280</v>
      </c>
      <c r="P11" s="51" t="s">
        <v>60</v>
      </c>
      <c r="Q11" s="51" t="s">
        <v>265</v>
      </c>
      <c r="R11" s="52" t="s">
        <v>294</v>
      </c>
    </row>
    <row r="12" customFormat="false" ht="33.75" hidden="false" customHeight="true" outlineLevel="0" collapsed="false">
      <c r="A12" s="49" t="s">
        <v>116</v>
      </c>
      <c r="B12" s="50" t="s">
        <v>117</v>
      </c>
      <c r="C12" s="49" t="s">
        <v>119</v>
      </c>
      <c r="D12" s="49" t="s">
        <v>295</v>
      </c>
      <c r="E12" s="49" t="s">
        <v>89</v>
      </c>
      <c r="F12" s="49" t="s">
        <v>296</v>
      </c>
      <c r="G12" s="49" t="s">
        <v>96</v>
      </c>
      <c r="H12" s="50" t="s">
        <v>297</v>
      </c>
      <c r="I12" s="49" t="s">
        <v>265</v>
      </c>
      <c r="J12" s="49" t="s">
        <v>60</v>
      </c>
      <c r="K12" s="49" t="s">
        <v>262</v>
      </c>
      <c r="L12" s="49" t="s">
        <v>293</v>
      </c>
      <c r="M12" s="49" t="s">
        <v>43</v>
      </c>
      <c r="N12" s="49" t="s">
        <v>280</v>
      </c>
      <c r="O12" s="49" t="s">
        <v>280</v>
      </c>
      <c r="P12" s="49" t="s">
        <v>60</v>
      </c>
      <c r="Q12" s="49" t="s">
        <v>265</v>
      </c>
      <c r="R12" s="50" t="s">
        <v>298</v>
      </c>
    </row>
    <row r="13" customFormat="false" ht="33.75" hidden="false" customHeight="true" outlineLevel="0" collapsed="false">
      <c r="A13" s="51" t="s">
        <v>169</v>
      </c>
      <c r="B13" s="52" t="s">
        <v>299</v>
      </c>
      <c r="C13" s="51" t="s">
        <v>172</v>
      </c>
      <c r="D13" s="51" t="s">
        <v>300</v>
      </c>
      <c r="E13" s="51" t="s">
        <v>49</v>
      </c>
      <c r="F13" s="51" t="s">
        <v>301</v>
      </c>
      <c r="G13" s="51" t="s">
        <v>165</v>
      </c>
      <c r="H13" s="52" t="s">
        <v>302</v>
      </c>
      <c r="I13" s="51" t="s">
        <v>258</v>
      </c>
      <c r="J13" s="51" t="s">
        <v>30</v>
      </c>
      <c r="K13" s="51" t="s">
        <v>303</v>
      </c>
      <c r="L13" s="51" t="s">
        <v>31</v>
      </c>
      <c r="M13" s="51" t="s">
        <v>43</v>
      </c>
      <c r="N13" s="51" t="s">
        <v>280</v>
      </c>
      <c r="O13" s="51" t="s">
        <v>280</v>
      </c>
      <c r="P13" s="51" t="s">
        <v>262</v>
      </c>
      <c r="Q13" s="51" t="s">
        <v>258</v>
      </c>
      <c r="R13" s="52" t="s">
        <v>304</v>
      </c>
    </row>
    <row r="14" customFormat="false" ht="33.75" hidden="false" customHeight="true" outlineLevel="0" collapsed="false">
      <c r="A14" s="49" t="s">
        <v>180</v>
      </c>
      <c r="B14" s="50" t="s">
        <v>305</v>
      </c>
      <c r="C14" s="49" t="s">
        <v>184</v>
      </c>
      <c r="D14" s="49" t="s">
        <v>306</v>
      </c>
      <c r="E14" s="49" t="s">
        <v>38</v>
      </c>
      <c r="F14" s="49" t="s">
        <v>307</v>
      </c>
      <c r="G14" s="49" t="s">
        <v>182</v>
      </c>
      <c r="H14" s="50" t="s">
        <v>183</v>
      </c>
      <c r="I14" s="49" t="s">
        <v>265</v>
      </c>
      <c r="J14" s="49" t="s">
        <v>30</v>
      </c>
      <c r="K14" s="49" t="s">
        <v>308</v>
      </c>
      <c r="L14" s="49" t="s">
        <v>100</v>
      </c>
      <c r="M14" s="49" t="s">
        <v>186</v>
      </c>
      <c r="N14" s="49" t="s">
        <v>275</v>
      </c>
      <c r="O14" s="49" t="n">
        <v>850</v>
      </c>
      <c r="P14" s="49" t="s">
        <v>61</v>
      </c>
      <c r="Q14" s="49" t="s">
        <v>258</v>
      </c>
      <c r="R14" s="50" t="s">
        <v>309</v>
      </c>
    </row>
    <row r="15" customFormat="false" ht="33.75" hidden="false" customHeight="true" outlineLevel="0" collapsed="false">
      <c r="A15" s="51" t="s">
        <v>213</v>
      </c>
      <c r="B15" s="52" t="s">
        <v>310</v>
      </c>
      <c r="C15" s="51" t="s">
        <v>311</v>
      </c>
      <c r="D15" s="51" t="s">
        <v>312</v>
      </c>
      <c r="E15" s="51" t="s">
        <v>38</v>
      </c>
      <c r="F15" s="51" t="s">
        <v>313</v>
      </c>
      <c r="G15" s="51" t="s">
        <v>196</v>
      </c>
      <c r="H15" s="52" t="s">
        <v>314</v>
      </c>
      <c r="I15" s="51" t="s">
        <v>258</v>
      </c>
      <c r="J15" s="51" t="s">
        <v>60</v>
      </c>
      <c r="K15" s="51" t="s">
        <v>262</v>
      </c>
      <c r="L15" s="51" t="s">
        <v>315</v>
      </c>
      <c r="M15" s="51" t="s">
        <v>218</v>
      </c>
      <c r="N15" s="51" t="s">
        <v>316</v>
      </c>
      <c r="O15" s="51" t="s">
        <v>317</v>
      </c>
      <c r="P15" s="51" t="s">
        <v>315</v>
      </c>
      <c r="Q15" s="51" t="s">
        <v>262</v>
      </c>
      <c r="R15" s="52" t="s">
        <v>318</v>
      </c>
    </row>
    <row r="16" customFormat="false" ht="33.75" hidden="false" customHeight="true" outlineLevel="0" collapsed="false">
      <c r="A16" s="49" t="s">
        <v>72</v>
      </c>
      <c r="B16" s="50" t="s">
        <v>73</v>
      </c>
      <c r="C16" s="49" t="s">
        <v>75</v>
      </c>
      <c r="D16" s="49" t="s">
        <v>75</v>
      </c>
      <c r="E16" s="49" t="s">
        <v>49</v>
      </c>
      <c r="F16" s="49" t="s">
        <v>319</v>
      </c>
      <c r="G16" s="49" t="s">
        <v>26</v>
      </c>
      <c r="H16" s="50" t="s">
        <v>320</v>
      </c>
      <c r="I16" s="49" t="s">
        <v>258</v>
      </c>
      <c r="J16" s="49" t="s">
        <v>76</v>
      </c>
      <c r="K16" s="49" t="s">
        <v>321</v>
      </c>
      <c r="L16" s="49" t="s">
        <v>77</v>
      </c>
      <c r="M16" s="49" t="s">
        <v>79</v>
      </c>
      <c r="N16" s="49" t="s">
        <v>322</v>
      </c>
      <c r="O16" s="49" t="n">
        <v>2000</v>
      </c>
      <c r="P16" s="49" t="s">
        <v>262</v>
      </c>
      <c r="Q16" s="49" t="s">
        <v>258</v>
      </c>
      <c r="R16" s="50" t="s">
        <v>323</v>
      </c>
    </row>
    <row r="17" customFormat="false" ht="33.75" hidden="false" customHeight="true" outlineLevel="0" collapsed="false">
      <c r="A17" s="51" t="s">
        <v>45</v>
      </c>
      <c r="B17" s="52" t="s">
        <v>46</v>
      </c>
      <c r="C17" s="51" t="s">
        <v>50</v>
      </c>
      <c r="D17" s="51" t="s">
        <v>324</v>
      </c>
      <c r="E17" s="51" t="s">
        <v>58</v>
      </c>
      <c r="F17" s="51" t="s">
        <v>325</v>
      </c>
      <c r="G17" s="51" t="s">
        <v>26</v>
      </c>
      <c r="H17" s="52" t="s">
        <v>48</v>
      </c>
      <c r="I17" s="51" t="s">
        <v>258</v>
      </c>
      <c r="J17" s="51" t="s">
        <v>30</v>
      </c>
      <c r="K17" s="51" t="s">
        <v>326</v>
      </c>
      <c r="L17" s="51" t="s">
        <v>51</v>
      </c>
      <c r="M17" s="51" t="s">
        <v>53</v>
      </c>
      <c r="N17" s="51" t="s">
        <v>275</v>
      </c>
      <c r="O17" s="51" t="n">
        <v>6000</v>
      </c>
      <c r="P17" s="51" t="s">
        <v>262</v>
      </c>
      <c r="Q17" s="51" t="s">
        <v>258</v>
      </c>
      <c r="R17" s="52" t="s">
        <v>327</v>
      </c>
    </row>
    <row r="18" customFormat="false" ht="33.75" hidden="false" customHeight="true" outlineLevel="0" collapsed="false">
      <c r="A18" s="49" t="s">
        <v>174</v>
      </c>
      <c r="B18" s="50" t="s">
        <v>175</v>
      </c>
      <c r="C18" s="49" t="s">
        <v>177</v>
      </c>
      <c r="D18" s="49" t="s">
        <v>177</v>
      </c>
      <c r="E18" s="49" t="s">
        <v>49</v>
      </c>
      <c r="F18" s="49" t="s">
        <v>328</v>
      </c>
      <c r="G18" s="49" t="s">
        <v>165</v>
      </c>
      <c r="H18" s="50" t="s">
        <v>302</v>
      </c>
      <c r="I18" s="49" t="s">
        <v>258</v>
      </c>
      <c r="J18" s="49" t="s">
        <v>40</v>
      </c>
      <c r="K18" s="49" t="s">
        <v>329</v>
      </c>
      <c r="L18" s="49" t="s">
        <v>61</v>
      </c>
      <c r="M18" s="49" t="s">
        <v>178</v>
      </c>
      <c r="N18" s="49" t="s">
        <v>330</v>
      </c>
      <c r="O18" s="49" t="n">
        <v>1500</v>
      </c>
      <c r="P18" s="49" t="s">
        <v>262</v>
      </c>
      <c r="Q18" s="49" t="s">
        <v>258</v>
      </c>
      <c r="R18" s="50" t="s">
        <v>331</v>
      </c>
    </row>
    <row r="19" customFormat="false" ht="33.75" hidden="false" customHeight="true" outlineLevel="0" collapsed="false">
      <c r="A19" s="51" t="s">
        <v>64</v>
      </c>
      <c r="B19" s="52" t="s">
        <v>65</v>
      </c>
      <c r="C19" s="51" t="s">
        <v>68</v>
      </c>
      <c r="D19" s="51" t="s">
        <v>332</v>
      </c>
      <c r="E19" s="51" t="s">
        <v>58</v>
      </c>
      <c r="F19" s="51" t="s">
        <v>333</v>
      </c>
      <c r="G19" s="51" t="s">
        <v>138</v>
      </c>
      <c r="H19" s="52" t="s">
        <v>334</v>
      </c>
      <c r="I19" s="51" t="s">
        <v>258</v>
      </c>
      <c r="J19" s="51" t="s">
        <v>30</v>
      </c>
      <c r="K19" s="51" t="s">
        <v>335</v>
      </c>
      <c r="L19" s="51" t="s">
        <v>69</v>
      </c>
      <c r="M19" s="51" t="s">
        <v>70</v>
      </c>
      <c r="N19" s="51" t="s">
        <v>275</v>
      </c>
      <c r="O19" s="51" t="s">
        <v>280</v>
      </c>
      <c r="P19" s="51" t="s">
        <v>262</v>
      </c>
      <c r="Q19" s="51" t="s">
        <v>258</v>
      </c>
      <c r="R19" s="52" t="s">
        <v>336</v>
      </c>
    </row>
    <row r="20" customFormat="false" ht="33.75" hidden="false" customHeight="true" outlineLevel="0" collapsed="false">
      <c r="A20" s="49" t="s">
        <v>110</v>
      </c>
      <c r="B20" s="50" t="s">
        <v>111</v>
      </c>
      <c r="C20" s="49" t="s">
        <v>337</v>
      </c>
      <c r="D20" s="49" t="s">
        <v>338</v>
      </c>
      <c r="E20" s="49" t="s">
        <v>38</v>
      </c>
      <c r="F20" s="49" t="s">
        <v>339</v>
      </c>
      <c r="G20" s="49" t="s">
        <v>96</v>
      </c>
      <c r="H20" s="50" t="s">
        <v>340</v>
      </c>
      <c r="I20" s="49" t="s">
        <v>265</v>
      </c>
      <c r="J20" s="49" t="s">
        <v>60</v>
      </c>
      <c r="K20" s="49" t="s">
        <v>262</v>
      </c>
      <c r="L20" s="49" t="s">
        <v>293</v>
      </c>
      <c r="M20" s="49" t="s">
        <v>43</v>
      </c>
      <c r="N20" s="49" t="s">
        <v>280</v>
      </c>
      <c r="O20" s="49" t="s">
        <v>280</v>
      </c>
      <c r="P20" s="49" t="s">
        <v>60</v>
      </c>
      <c r="Q20" s="49" t="s">
        <v>258</v>
      </c>
      <c r="R20" s="50" t="s">
        <v>341</v>
      </c>
    </row>
  </sheetData>
  <autoFilter ref="A5:R5"/>
  <mergeCells count="3">
    <mergeCell ref="A2:R2"/>
    <mergeCell ref="A3:R3"/>
    <mergeCell ref="A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C3A"/>
    <pageSetUpPr fitToPage="false"/>
  </sheetPr>
  <dimension ref="A1:P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4" min="3" style="1" width="13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9" min="7" style="1" width="14"/>
    <col collapsed="false" customWidth="true" hidden="false" outlineLevel="0" max="11" min="10" style="1" width="13"/>
    <col collapsed="false" customWidth="true" hidden="false" outlineLevel="0" max="12" min="12" style="1" width="12"/>
    <col collapsed="false" customWidth="true" hidden="false" outlineLevel="0" max="14" min="13" style="1" width="13"/>
    <col collapsed="false" customWidth="true" hidden="false" outlineLevel="0" max="15" min="15" style="1" width="12"/>
    <col collapsed="false" customWidth="true" hidden="false" outlineLevel="0" max="16" min="16" style="1" width="24"/>
  </cols>
  <sheetData>
    <row r="1" customFormat="false" ht="7.5" hidden="false" customHeight="true" outlineLevel="0" collapsed="false"/>
    <row r="2" customFormat="false" ht="36" hidden="false" customHeight="true" outlineLevel="0" collapsed="false">
      <c r="A2" s="53" t="s">
        <v>342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customFormat="false" ht="18" hidden="false" customHeight="true" outlineLevel="0" collapsed="false">
      <c r="A3" s="54" t="s">
        <v>343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</row>
    <row r="4" customFormat="false" ht="6" hidden="false" customHeight="true" outlineLevel="0" collapsed="false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customFormat="false" ht="39.75" hidden="false" customHeight="true" outlineLevel="0" collapsed="false">
      <c r="A5" s="9" t="s">
        <v>3</v>
      </c>
      <c r="B5" s="9" t="s">
        <v>240</v>
      </c>
      <c r="C5" s="9" t="s">
        <v>344</v>
      </c>
      <c r="D5" s="9" t="s">
        <v>14</v>
      </c>
      <c r="E5" s="9" t="s">
        <v>345</v>
      </c>
      <c r="F5" s="9" t="s">
        <v>346</v>
      </c>
      <c r="G5" s="9" t="s">
        <v>347</v>
      </c>
      <c r="H5" s="9" t="s">
        <v>348</v>
      </c>
      <c r="I5" s="9" t="s">
        <v>349</v>
      </c>
      <c r="J5" s="9" t="s">
        <v>16</v>
      </c>
      <c r="K5" s="9" t="s">
        <v>17</v>
      </c>
      <c r="L5" s="9" t="s">
        <v>18</v>
      </c>
      <c r="M5" s="9" t="s">
        <v>350</v>
      </c>
      <c r="N5" s="9" t="s">
        <v>351</v>
      </c>
      <c r="O5" s="9" t="s">
        <v>19</v>
      </c>
      <c r="P5" s="9" t="s">
        <v>352</v>
      </c>
    </row>
    <row r="6" customFormat="false" ht="27.75" hidden="false" customHeight="true" outlineLevel="0" collapsed="false">
      <c r="A6" s="56" t="s">
        <v>23</v>
      </c>
      <c r="B6" s="57" t="s">
        <v>24</v>
      </c>
      <c r="C6" s="58" t="s">
        <v>353</v>
      </c>
      <c r="D6" s="59" t="n">
        <v>45000</v>
      </c>
      <c r="E6" s="60" t="n">
        <v>71</v>
      </c>
      <c r="F6" s="59" t="n">
        <v>380</v>
      </c>
      <c r="G6" s="59" t="n">
        <v>13200</v>
      </c>
      <c r="H6" s="59" t="n">
        <v>0</v>
      </c>
      <c r="I6" s="59" t="n">
        <v>13200</v>
      </c>
      <c r="J6" s="59" t="n">
        <v>800</v>
      </c>
      <c r="K6" s="61" t="n">
        <f aca="false">IFERROR(ROUND(G6/J6,1),"N/A")</f>
        <v>16.5</v>
      </c>
      <c r="L6" s="56" t="str">
        <f aca="false">IFERROR(IF(K6&lt;4,"🔴 &lt;4Q",IF(K6&lt;8,"🟡 4-8Q","🟢 &gt;8Q")),"N/A")</f>
        <v>🟢 &gt;8Q</v>
      </c>
      <c r="M6" s="58" t="s">
        <v>280</v>
      </c>
      <c r="N6" s="58" t="s">
        <v>280</v>
      </c>
      <c r="O6" s="59" t="n">
        <f aca="false">D6-G6</f>
        <v>31800</v>
      </c>
      <c r="P6" s="57" t="s">
        <v>354</v>
      </c>
    </row>
    <row r="7" customFormat="false" ht="27.75" hidden="false" customHeight="true" outlineLevel="0" collapsed="false">
      <c r="A7" s="62" t="s">
        <v>94</v>
      </c>
      <c r="B7" s="63" t="s">
        <v>95</v>
      </c>
      <c r="C7" s="64" t="s">
        <v>353</v>
      </c>
      <c r="D7" s="65" t="n">
        <v>1700</v>
      </c>
      <c r="E7" s="66" t="n">
        <v>26.5</v>
      </c>
      <c r="F7" s="65" t="n">
        <v>64</v>
      </c>
      <c r="G7" s="65" t="n">
        <v>880</v>
      </c>
      <c r="H7" s="65" t="n">
        <v>0</v>
      </c>
      <c r="I7" s="65" t="n">
        <v>880</v>
      </c>
      <c r="J7" s="65" t="n">
        <v>70</v>
      </c>
      <c r="K7" s="67" t="n">
        <f aca="false">IFERROR(ROUND(G7/J7,1),"N/A")</f>
        <v>12.6</v>
      </c>
      <c r="L7" s="62" t="str">
        <f aca="false">IFERROR(IF(K7&lt;4,"🔴 &lt;4Q",IF(K7&lt;8,"🟡 4-8Q","🟢 &gt;8Q")),"N/A")</f>
        <v>🟢 &gt;8Q</v>
      </c>
      <c r="M7" s="64" t="s">
        <v>280</v>
      </c>
      <c r="N7" s="64" t="s">
        <v>280</v>
      </c>
      <c r="O7" s="65" t="n">
        <f aca="false">D7-G7</f>
        <v>820</v>
      </c>
      <c r="P7" s="63" t="s">
        <v>354</v>
      </c>
    </row>
    <row r="8" customFormat="false" ht="27.75" hidden="false" customHeight="true" outlineLevel="0" collapsed="false">
      <c r="A8" s="56" t="s">
        <v>103</v>
      </c>
      <c r="B8" s="57" t="s">
        <v>270</v>
      </c>
      <c r="C8" s="58" t="s">
        <v>353</v>
      </c>
      <c r="D8" s="59" t="n">
        <v>2100</v>
      </c>
      <c r="E8" s="60" t="n">
        <v>21.5</v>
      </c>
      <c r="F8" s="59" t="n">
        <v>98</v>
      </c>
      <c r="G8" s="59" t="n">
        <v>520</v>
      </c>
      <c r="H8" s="59" t="n">
        <v>80</v>
      </c>
      <c r="I8" s="59" t="n">
        <v>600</v>
      </c>
      <c r="J8" s="59" t="n">
        <v>58</v>
      </c>
      <c r="K8" s="61" t="n">
        <f aca="false">IFERROR(ROUND(G8/J8,1),"N/A")</f>
        <v>9</v>
      </c>
      <c r="L8" s="56" t="str">
        <f aca="false">IFERROR(IF(K8&lt;4,"🔴 &lt;4Q",IF(K8&lt;8,"🟡 4-8Q","🟢 &gt;8Q")),"N/A")</f>
        <v>🟢 &gt;8Q</v>
      </c>
      <c r="M8" s="58" t="s">
        <v>280</v>
      </c>
      <c r="N8" s="58" t="s">
        <v>280</v>
      </c>
      <c r="O8" s="59" t="n">
        <f aca="false">D8-G8</f>
        <v>1580</v>
      </c>
      <c r="P8" s="57" t="s">
        <v>354</v>
      </c>
    </row>
    <row r="9" customFormat="false" ht="27.75" hidden="false" customHeight="true" outlineLevel="0" collapsed="false">
      <c r="A9" s="62" t="s">
        <v>156</v>
      </c>
      <c r="B9" s="63" t="s">
        <v>282</v>
      </c>
      <c r="C9" s="64" t="s">
        <v>353</v>
      </c>
      <c r="D9" s="65" t="n">
        <v>108000</v>
      </c>
      <c r="E9" s="66" t="n">
        <v>435</v>
      </c>
      <c r="F9" s="65" t="n">
        <v>258</v>
      </c>
      <c r="G9" s="65" t="n">
        <v>11200</v>
      </c>
      <c r="H9" s="65" t="n">
        <v>0</v>
      </c>
      <c r="I9" s="65" t="n">
        <v>11200</v>
      </c>
      <c r="J9" s="65" t="n">
        <v>350</v>
      </c>
      <c r="K9" s="67" t="n">
        <f aca="false">IFERROR(ROUND(G9/J9,1),"N/A")</f>
        <v>32</v>
      </c>
      <c r="L9" s="62" t="str">
        <f aca="false">IFERROR(IF(K9&lt;4,"🔴 &lt;4Q",IF(K9&lt;8,"🟡 4-8Q","🟢 &gt;8Q")),"N/A")</f>
        <v>🟢 &gt;8Q</v>
      </c>
      <c r="M9" s="64" t="s">
        <v>280</v>
      </c>
      <c r="N9" s="64" t="s">
        <v>280</v>
      </c>
      <c r="O9" s="65" t="n">
        <f aca="false">D9-G9</f>
        <v>96800</v>
      </c>
      <c r="P9" s="63" t="s">
        <v>354</v>
      </c>
    </row>
    <row r="10" customFormat="false" ht="27.75" hidden="false" customHeight="true" outlineLevel="0" collapsed="false">
      <c r="A10" s="56" t="s">
        <v>81</v>
      </c>
      <c r="B10" s="57" t="s">
        <v>82</v>
      </c>
      <c r="C10" s="58" t="s">
        <v>353</v>
      </c>
      <c r="D10" s="59" t="n">
        <v>5200</v>
      </c>
      <c r="E10" s="60" t="n">
        <v>43</v>
      </c>
      <c r="F10" s="59" t="n">
        <v>121</v>
      </c>
      <c r="G10" s="59" t="n">
        <v>1800</v>
      </c>
      <c r="H10" s="59" t="n">
        <v>0</v>
      </c>
      <c r="I10" s="59" t="n">
        <v>1800</v>
      </c>
      <c r="J10" s="59" t="n">
        <v>110</v>
      </c>
      <c r="K10" s="61" t="n">
        <f aca="false">IFERROR(ROUND(G10/J10,1),"N/A")</f>
        <v>16.4</v>
      </c>
      <c r="L10" s="56" t="str">
        <f aca="false">IFERROR(IF(K10&lt;4,"🔴 &lt;4Q",IF(K10&lt;8,"🟡 4-8Q","🟢 &gt;8Q")),"N/A")</f>
        <v>🟢 &gt;8Q</v>
      </c>
      <c r="M10" s="58" t="s">
        <v>280</v>
      </c>
      <c r="N10" s="58" t="s">
        <v>280</v>
      </c>
      <c r="O10" s="59" t="n">
        <f aca="false">D10-G10</f>
        <v>3400</v>
      </c>
      <c r="P10" s="57" t="s">
        <v>354</v>
      </c>
    </row>
    <row r="11" customFormat="false" ht="27.75" hidden="false" customHeight="true" outlineLevel="0" collapsed="false">
      <c r="A11" s="62" t="s">
        <v>194</v>
      </c>
      <c r="B11" s="63" t="s">
        <v>289</v>
      </c>
      <c r="C11" s="64" t="s">
        <v>353</v>
      </c>
      <c r="D11" s="65" t="n">
        <v>5800</v>
      </c>
      <c r="E11" s="66" t="n">
        <v>318</v>
      </c>
      <c r="F11" s="65" t="n">
        <v>18</v>
      </c>
      <c r="G11" s="65" t="n">
        <v>980</v>
      </c>
      <c r="H11" s="65" t="n">
        <v>0</v>
      </c>
      <c r="I11" s="65" t="n">
        <v>980</v>
      </c>
      <c r="J11" s="65" t="n">
        <v>75</v>
      </c>
      <c r="K11" s="67" t="n">
        <f aca="false">IFERROR(ROUND(G11/J11,1),"N/A")</f>
        <v>13.1</v>
      </c>
      <c r="L11" s="62" t="str">
        <f aca="false">IFERROR(IF(K11&lt;4,"🔴 &lt;4Q",IF(K11&lt;8,"🟡 4-8Q","🟢 &gt;8Q")),"N/A")</f>
        <v>🟢 &gt;8Q</v>
      </c>
      <c r="M11" s="64" t="s">
        <v>280</v>
      </c>
      <c r="N11" s="64" t="s">
        <v>280</v>
      </c>
      <c r="O11" s="65" t="n">
        <f aca="false">D11-G11</f>
        <v>4820</v>
      </c>
      <c r="P11" s="63" t="s">
        <v>354</v>
      </c>
    </row>
    <row r="12" customFormat="false" ht="27.75" hidden="false" customHeight="true" outlineLevel="0" collapsed="false">
      <c r="A12" s="56" t="s">
        <v>116</v>
      </c>
      <c r="B12" s="57" t="s">
        <v>117</v>
      </c>
      <c r="C12" s="58" t="s">
        <v>353</v>
      </c>
      <c r="D12" s="59" t="n">
        <v>4100</v>
      </c>
      <c r="E12" s="60" t="n">
        <v>168</v>
      </c>
      <c r="F12" s="59" t="n">
        <v>24</v>
      </c>
      <c r="G12" s="59" t="n">
        <v>780</v>
      </c>
      <c r="H12" s="59" t="n">
        <v>0</v>
      </c>
      <c r="I12" s="59" t="n">
        <v>780</v>
      </c>
      <c r="J12" s="59" t="n">
        <v>-30</v>
      </c>
      <c r="K12" s="61" t="s">
        <v>121</v>
      </c>
      <c r="L12" s="56" t="s">
        <v>122</v>
      </c>
      <c r="M12" s="58" t="s">
        <v>280</v>
      </c>
      <c r="N12" s="58" t="s">
        <v>280</v>
      </c>
      <c r="O12" s="59" t="n">
        <f aca="false">D12-G12</f>
        <v>3320</v>
      </c>
      <c r="P12" s="57" t="s">
        <v>354</v>
      </c>
    </row>
    <row r="13" customFormat="false" ht="27.75" hidden="false" customHeight="true" outlineLevel="0" collapsed="false">
      <c r="A13" s="62" t="s">
        <v>124</v>
      </c>
      <c r="B13" s="63" t="s">
        <v>355</v>
      </c>
      <c r="C13" s="64" t="s">
        <v>353</v>
      </c>
      <c r="D13" s="65" t="n">
        <v>3200</v>
      </c>
      <c r="E13" s="66" t="n">
        <v>52</v>
      </c>
      <c r="F13" s="65" t="n">
        <v>62</v>
      </c>
      <c r="G13" s="65" t="n">
        <v>710</v>
      </c>
      <c r="H13" s="65" t="n">
        <v>0</v>
      </c>
      <c r="I13" s="65" t="n">
        <v>710</v>
      </c>
      <c r="J13" s="65" t="n">
        <v>85</v>
      </c>
      <c r="K13" s="67" t="n">
        <f aca="false">IFERROR(ROUND(G13/J13,1),"N/A")</f>
        <v>8.4</v>
      </c>
      <c r="L13" s="62" t="str">
        <f aca="false">IFERROR(IF(K13&lt;4,"🔴 &lt;4Q",IF(K13&lt;8,"🟡 4-8Q","🟢 &gt;8Q")),"N/A")</f>
        <v>🟢 &gt;8Q</v>
      </c>
      <c r="M13" s="64" t="s">
        <v>280</v>
      </c>
      <c r="N13" s="64" t="s">
        <v>280</v>
      </c>
      <c r="O13" s="65" t="n">
        <f aca="false">D13-G13</f>
        <v>2490</v>
      </c>
      <c r="P13" s="63" t="s">
        <v>354</v>
      </c>
    </row>
    <row r="14" customFormat="false" ht="27.75" hidden="false" customHeight="true" outlineLevel="0" collapsed="false">
      <c r="A14" s="56" t="s">
        <v>45</v>
      </c>
      <c r="B14" s="57" t="s">
        <v>46</v>
      </c>
      <c r="C14" s="58" t="s">
        <v>353</v>
      </c>
      <c r="D14" s="59" t="n">
        <v>1100</v>
      </c>
      <c r="E14" s="60" t="n">
        <v>14.2</v>
      </c>
      <c r="F14" s="59" t="n">
        <v>77</v>
      </c>
      <c r="G14" s="59" t="n">
        <v>620</v>
      </c>
      <c r="H14" s="59" t="n">
        <v>0</v>
      </c>
      <c r="I14" s="59" t="n">
        <v>620</v>
      </c>
      <c r="J14" s="59" t="n">
        <v>75</v>
      </c>
      <c r="K14" s="61" t="n">
        <f aca="false">IFERROR(ROUND(G14/J14,1),"N/A")</f>
        <v>8.3</v>
      </c>
      <c r="L14" s="56" t="str">
        <f aca="false">IFERROR(IF(K14&lt;4,"🔴 &lt;4Q",IF(K14&lt;8,"🟡 4-8Q","🟢 &gt;8Q")),"N/A")</f>
        <v>🟢 &gt;8Q</v>
      </c>
      <c r="M14" s="58" t="s">
        <v>280</v>
      </c>
      <c r="N14" s="58" t="s">
        <v>280</v>
      </c>
      <c r="O14" s="59" t="n">
        <f aca="false">D14-G14</f>
        <v>480</v>
      </c>
      <c r="P14" s="57" t="s">
        <v>354</v>
      </c>
    </row>
    <row r="15" customFormat="false" ht="27.75" hidden="false" customHeight="true" outlineLevel="0" collapsed="false">
      <c r="A15" s="62" t="s">
        <v>64</v>
      </c>
      <c r="B15" s="63" t="s">
        <v>65</v>
      </c>
      <c r="C15" s="64" t="s">
        <v>353</v>
      </c>
      <c r="D15" s="65" t="n">
        <v>2400</v>
      </c>
      <c r="E15" s="66" t="n">
        <v>31.5</v>
      </c>
      <c r="F15" s="65" t="n">
        <v>76</v>
      </c>
      <c r="G15" s="65" t="n">
        <v>820</v>
      </c>
      <c r="H15" s="65" t="n">
        <v>0</v>
      </c>
      <c r="I15" s="65" t="n">
        <v>820</v>
      </c>
      <c r="J15" s="65" t="n">
        <v>90</v>
      </c>
      <c r="K15" s="67" t="n">
        <f aca="false">IFERROR(ROUND(G15/J15,1),"N/A")</f>
        <v>9.1</v>
      </c>
      <c r="L15" s="62" t="str">
        <f aca="false">IFERROR(IF(K15&lt;4,"🔴 &lt;4Q",IF(K15&lt;8,"🟡 4-8Q","🟢 &gt;8Q")),"N/A")</f>
        <v>🟢 &gt;8Q</v>
      </c>
      <c r="M15" s="64" t="s">
        <v>280</v>
      </c>
      <c r="N15" s="64" t="s">
        <v>280</v>
      </c>
      <c r="O15" s="65" t="n">
        <f aca="false">D15-G15</f>
        <v>1580</v>
      </c>
      <c r="P15" s="63" t="s">
        <v>354</v>
      </c>
    </row>
    <row r="16" customFormat="false" ht="27.75" hidden="false" customHeight="true" outlineLevel="0" collapsed="false">
      <c r="A16" s="56" t="s">
        <v>169</v>
      </c>
      <c r="B16" s="57" t="s">
        <v>170</v>
      </c>
      <c r="C16" s="58" t="s">
        <v>353</v>
      </c>
      <c r="D16" s="59" t="n">
        <v>1600</v>
      </c>
      <c r="E16" s="60" t="n">
        <v>52</v>
      </c>
      <c r="F16" s="59" t="n">
        <v>31</v>
      </c>
      <c r="G16" s="59" t="n">
        <v>590</v>
      </c>
      <c r="H16" s="59" t="n">
        <v>0</v>
      </c>
      <c r="I16" s="59" t="n">
        <v>590</v>
      </c>
      <c r="J16" s="59" t="n">
        <v>55</v>
      </c>
      <c r="K16" s="61" t="n">
        <f aca="false">IFERROR(ROUND(G16/J16,1),"N/A")</f>
        <v>10.7</v>
      </c>
      <c r="L16" s="56" t="str">
        <f aca="false">IFERROR(IF(K16&lt;4,"🔴 &lt;4Q",IF(K16&lt;8,"🟡 4-8Q","🟢 &gt;8Q")),"N/A")</f>
        <v>🟢 &gt;8Q</v>
      </c>
      <c r="M16" s="58" t="s">
        <v>280</v>
      </c>
      <c r="N16" s="58" t="s">
        <v>280</v>
      </c>
      <c r="O16" s="59" t="n">
        <f aca="false">D16-G16</f>
        <v>1010</v>
      </c>
      <c r="P16" s="57" t="s">
        <v>354</v>
      </c>
    </row>
    <row r="17" customFormat="false" ht="27.75" hidden="false" customHeight="true" outlineLevel="0" collapsed="false">
      <c r="A17" s="62" t="s">
        <v>180</v>
      </c>
      <c r="B17" s="63" t="s">
        <v>181</v>
      </c>
      <c r="C17" s="64" t="s">
        <v>353</v>
      </c>
      <c r="D17" s="65" t="n">
        <v>2200</v>
      </c>
      <c r="E17" s="66" t="n">
        <v>43</v>
      </c>
      <c r="F17" s="65" t="n">
        <v>51</v>
      </c>
      <c r="G17" s="65" t="n">
        <v>510</v>
      </c>
      <c r="H17" s="65" t="n">
        <v>0</v>
      </c>
      <c r="I17" s="65" t="n">
        <v>510</v>
      </c>
      <c r="J17" s="65" t="n">
        <v>45</v>
      </c>
      <c r="K17" s="67" t="n">
        <f aca="false">IFERROR(ROUND(G17/J17,1),"N/A")</f>
        <v>11.3</v>
      </c>
      <c r="L17" s="62" t="str">
        <f aca="false">IFERROR(IF(K17&lt;4,"🔴 &lt;4Q",IF(K17&lt;8,"🟡 4-8Q","🟢 &gt;8Q")),"N/A")</f>
        <v>🟢 &gt;8Q</v>
      </c>
      <c r="M17" s="64" t="s">
        <v>280</v>
      </c>
      <c r="N17" s="64" t="s">
        <v>280</v>
      </c>
      <c r="O17" s="65" t="n">
        <f aca="false">D17-G17</f>
        <v>1690</v>
      </c>
      <c r="P17" s="63" t="s">
        <v>354</v>
      </c>
    </row>
    <row r="18" customFormat="false" ht="27.75" hidden="false" customHeight="true" outlineLevel="0" collapsed="false">
      <c r="A18" s="56" t="s">
        <v>72</v>
      </c>
      <c r="B18" s="57" t="s">
        <v>73</v>
      </c>
      <c r="C18" s="58" t="s">
        <v>353</v>
      </c>
      <c r="D18" s="59" t="n">
        <v>1200</v>
      </c>
      <c r="E18" s="60" t="n">
        <v>29</v>
      </c>
      <c r="F18" s="59" t="n">
        <v>41</v>
      </c>
      <c r="G18" s="59" t="n">
        <v>540</v>
      </c>
      <c r="H18" s="59" t="n">
        <v>0</v>
      </c>
      <c r="I18" s="59" t="n">
        <v>540</v>
      </c>
      <c r="J18" s="59" t="n">
        <v>45</v>
      </c>
      <c r="K18" s="61" t="n">
        <f aca="false">IFERROR(ROUND(G18/J18,1),"N/A")</f>
        <v>12</v>
      </c>
      <c r="L18" s="56" t="str">
        <f aca="false">IFERROR(IF(K18&lt;4,"🔴 &lt;4Q",IF(K18&lt;8,"🟡 4-8Q","🟢 &gt;8Q")),"N/A")</f>
        <v>🟢 &gt;8Q</v>
      </c>
      <c r="M18" s="58" t="s">
        <v>280</v>
      </c>
      <c r="N18" s="58" t="s">
        <v>280</v>
      </c>
      <c r="O18" s="59" t="n">
        <f aca="false">D18-G18</f>
        <v>660</v>
      </c>
      <c r="P18" s="57" t="s">
        <v>354</v>
      </c>
    </row>
    <row r="19" customFormat="false" ht="27.75" hidden="false" customHeight="true" outlineLevel="0" collapsed="false">
      <c r="A19" s="62" t="s">
        <v>130</v>
      </c>
      <c r="B19" s="63" t="s">
        <v>131</v>
      </c>
      <c r="C19" s="64" t="s">
        <v>353</v>
      </c>
      <c r="D19" s="65" t="n">
        <v>2100</v>
      </c>
      <c r="E19" s="66" t="n">
        <v>44</v>
      </c>
      <c r="F19" s="65" t="n">
        <v>48</v>
      </c>
      <c r="G19" s="65" t="n">
        <v>420</v>
      </c>
      <c r="H19" s="65" t="n">
        <v>0</v>
      </c>
      <c r="I19" s="65" t="n">
        <v>420</v>
      </c>
      <c r="J19" s="65" t="n">
        <v>40</v>
      </c>
      <c r="K19" s="67" t="n">
        <f aca="false">IFERROR(ROUND(G19/J19,1),"N/A")</f>
        <v>10.5</v>
      </c>
      <c r="L19" s="62" t="str">
        <f aca="false">IFERROR(IF(K19&lt;4,"🔴 &lt;4Q",IF(K19&lt;8,"🟡 4-8Q","🟢 &gt;8Q")),"N/A")</f>
        <v>🟢 &gt;8Q</v>
      </c>
      <c r="M19" s="64" t="s">
        <v>280</v>
      </c>
      <c r="N19" s="64" t="s">
        <v>280</v>
      </c>
      <c r="O19" s="65" t="n">
        <f aca="false">D19-G19</f>
        <v>1680</v>
      </c>
      <c r="P19" s="63" t="s">
        <v>354</v>
      </c>
    </row>
    <row r="20" customFormat="false" ht="27.75" hidden="false" customHeight="true" outlineLevel="0" collapsed="false">
      <c r="A20" s="56" t="s">
        <v>213</v>
      </c>
      <c r="B20" s="57" t="s">
        <v>214</v>
      </c>
      <c r="C20" s="58" t="s">
        <v>353</v>
      </c>
      <c r="D20" s="59" t="n">
        <v>5200</v>
      </c>
      <c r="E20" s="60" t="n">
        <v>43</v>
      </c>
      <c r="F20" s="59" t="n">
        <v>121</v>
      </c>
      <c r="G20" s="59" t="n">
        <v>820</v>
      </c>
      <c r="H20" s="59" t="n">
        <v>0</v>
      </c>
      <c r="I20" s="59" t="n">
        <v>820</v>
      </c>
      <c r="J20" s="59" t="n">
        <v>-60</v>
      </c>
      <c r="K20" s="61" t="s">
        <v>121</v>
      </c>
      <c r="L20" s="56" t="s">
        <v>122</v>
      </c>
      <c r="M20" s="58" t="s">
        <v>280</v>
      </c>
      <c r="N20" s="58" t="s">
        <v>280</v>
      </c>
      <c r="O20" s="59" t="n">
        <f aca="false">D20-G20</f>
        <v>4380</v>
      </c>
      <c r="P20" s="57" t="s">
        <v>354</v>
      </c>
    </row>
    <row r="21" customFormat="false" ht="27.75" hidden="false" customHeight="true" outlineLevel="0" collapsed="false">
      <c r="A21" s="62" t="s">
        <v>110</v>
      </c>
      <c r="B21" s="63" t="s">
        <v>111</v>
      </c>
      <c r="C21" s="64" t="s">
        <v>353</v>
      </c>
      <c r="D21" s="65" t="n">
        <v>1950</v>
      </c>
      <c r="E21" s="66" t="n">
        <v>7.5</v>
      </c>
      <c r="F21" s="65" t="n">
        <v>260</v>
      </c>
      <c r="G21" s="65" t="n">
        <v>310</v>
      </c>
      <c r="H21" s="65" t="n">
        <v>0</v>
      </c>
      <c r="I21" s="65" t="n">
        <v>310</v>
      </c>
      <c r="J21" s="65" t="n">
        <v>70</v>
      </c>
      <c r="K21" s="67" t="n">
        <f aca="false">IFERROR(ROUND(G21/J21,1),"N/A")</f>
        <v>4.4</v>
      </c>
      <c r="L21" s="62" t="str">
        <f aca="false">IFERROR(IF(K21&lt;4,"🔴 &lt;4Q",IF(K21&lt;8,"🟡 4-8Q","🟢 &gt;8Q")),"N/A")</f>
        <v>🟡 4-8Q</v>
      </c>
      <c r="M21" s="64" t="s">
        <v>280</v>
      </c>
      <c r="N21" s="64" t="s">
        <v>280</v>
      </c>
      <c r="O21" s="65" t="n">
        <f aca="false">D21-G21</f>
        <v>1640</v>
      </c>
      <c r="P21" s="63" t="s">
        <v>354</v>
      </c>
    </row>
    <row r="22" customFormat="false" ht="27.75" hidden="false" customHeight="true" outlineLevel="0" collapsed="false">
      <c r="A22" s="56" t="s">
        <v>174</v>
      </c>
      <c r="B22" s="57" t="s">
        <v>175</v>
      </c>
      <c r="C22" s="58" t="s">
        <v>353</v>
      </c>
      <c r="D22" s="59" t="n">
        <v>750</v>
      </c>
      <c r="E22" s="60" t="n">
        <v>13</v>
      </c>
      <c r="F22" s="59" t="n">
        <v>58</v>
      </c>
      <c r="G22" s="59" t="n">
        <v>480</v>
      </c>
      <c r="H22" s="59" t="n">
        <v>0</v>
      </c>
      <c r="I22" s="59" t="n">
        <v>480</v>
      </c>
      <c r="J22" s="59" t="n">
        <v>55</v>
      </c>
      <c r="K22" s="61" t="n">
        <f aca="false">IFERROR(ROUND(G22/J22,1),"N/A")</f>
        <v>8.7</v>
      </c>
      <c r="L22" s="56" t="str">
        <f aca="false">IFERROR(IF(K22&lt;4,"🔴 &lt;4Q",IF(K22&lt;8,"🟡 4-8Q","🟢 &gt;8Q")),"N/A")</f>
        <v>🟢 &gt;8Q</v>
      </c>
      <c r="M22" s="58" t="s">
        <v>280</v>
      </c>
      <c r="N22" s="58" t="s">
        <v>280</v>
      </c>
      <c r="O22" s="59" t="n">
        <f aca="false">D22-G22</f>
        <v>270</v>
      </c>
      <c r="P22" s="57" t="s">
        <v>354</v>
      </c>
    </row>
    <row r="23" customFormat="false" ht="27.75" hidden="false" customHeight="true" outlineLevel="0" collapsed="false">
      <c r="A23" s="62" t="s">
        <v>144</v>
      </c>
      <c r="B23" s="63" t="s">
        <v>145</v>
      </c>
      <c r="C23" s="64" t="s">
        <v>353</v>
      </c>
      <c r="D23" s="65" t="n">
        <v>4200</v>
      </c>
      <c r="E23" s="66" t="n">
        <v>30</v>
      </c>
      <c r="F23" s="65" t="n">
        <v>140</v>
      </c>
      <c r="G23" s="65" t="n">
        <v>920</v>
      </c>
      <c r="H23" s="65" t="n">
        <v>0</v>
      </c>
      <c r="I23" s="65" t="n">
        <v>920</v>
      </c>
      <c r="J23" s="65" t="n">
        <v>60</v>
      </c>
      <c r="K23" s="67" t="n">
        <f aca="false">IFERROR(ROUND(G23/J23,1),"N/A")</f>
        <v>15.3</v>
      </c>
      <c r="L23" s="62" t="str">
        <f aca="false">IFERROR(IF(K23&lt;4,"🔴 &lt;4Q",IF(K23&lt;8,"🟡 4-8Q","🟢 &gt;8Q")),"N/A")</f>
        <v>🟢 &gt;8Q</v>
      </c>
      <c r="M23" s="64" t="s">
        <v>280</v>
      </c>
      <c r="N23" s="64" t="s">
        <v>280</v>
      </c>
      <c r="O23" s="65" t="n">
        <f aca="false">D23-G23</f>
        <v>3280</v>
      </c>
      <c r="P23" s="63" t="s">
        <v>354</v>
      </c>
    </row>
    <row r="24" customFormat="false" ht="27.75" hidden="false" customHeight="true" outlineLevel="0" collapsed="false">
      <c r="A24" s="56" t="s">
        <v>151</v>
      </c>
      <c r="B24" s="57" t="s">
        <v>152</v>
      </c>
      <c r="C24" s="58" t="s">
        <v>353</v>
      </c>
      <c r="D24" s="59" t="n">
        <v>2900</v>
      </c>
      <c r="E24" s="60" t="n">
        <v>17</v>
      </c>
      <c r="F24" s="59" t="n">
        <v>171</v>
      </c>
      <c r="G24" s="59" t="n">
        <v>650</v>
      </c>
      <c r="H24" s="59" t="n">
        <v>0</v>
      </c>
      <c r="I24" s="59" t="n">
        <v>650</v>
      </c>
      <c r="J24" s="59" t="n">
        <v>55</v>
      </c>
      <c r="K24" s="61" t="n">
        <f aca="false">IFERROR(ROUND(G24/J24,1),"N/A")</f>
        <v>11.8</v>
      </c>
      <c r="L24" s="56" t="str">
        <f aca="false">IFERROR(IF(K24&lt;4,"🔴 &lt;4Q",IF(K24&lt;8,"🟡 4-8Q","🟢 &gt;8Q")),"N/A")</f>
        <v>🟢 &gt;8Q</v>
      </c>
      <c r="M24" s="58" t="s">
        <v>280</v>
      </c>
      <c r="N24" s="58" t="s">
        <v>280</v>
      </c>
      <c r="O24" s="59" t="n">
        <f aca="false">D24-G24</f>
        <v>2250</v>
      </c>
      <c r="P24" s="57" t="s">
        <v>354</v>
      </c>
    </row>
    <row r="25" customFormat="false" ht="27.75" hidden="false" customHeight="true" outlineLevel="0" collapsed="false">
      <c r="A25" s="62" t="s">
        <v>206</v>
      </c>
      <c r="B25" s="63" t="s">
        <v>207</v>
      </c>
      <c r="C25" s="64" t="s">
        <v>353</v>
      </c>
      <c r="D25" s="65" t="n">
        <v>3400</v>
      </c>
      <c r="E25" s="66" t="n">
        <v>65</v>
      </c>
      <c r="F25" s="65" t="n">
        <v>52</v>
      </c>
      <c r="G25" s="65" t="n">
        <v>1100</v>
      </c>
      <c r="H25" s="65" t="n">
        <v>0</v>
      </c>
      <c r="I25" s="65" t="n">
        <v>1100</v>
      </c>
      <c r="J25" s="65" t="n">
        <v>55</v>
      </c>
      <c r="K25" s="67" t="n">
        <f aca="false">IFERROR(ROUND(G25/J25,1),"N/A")</f>
        <v>20</v>
      </c>
      <c r="L25" s="62" t="str">
        <f aca="false">IFERROR(IF(K25&lt;4,"🔴 &lt;4Q",IF(K25&lt;8,"🟡 4-8Q","🟢 &gt;8Q")),"N/A")</f>
        <v>🟢 &gt;8Q</v>
      </c>
      <c r="M25" s="64" t="s">
        <v>280</v>
      </c>
      <c r="N25" s="64" t="s">
        <v>280</v>
      </c>
      <c r="O25" s="65" t="n">
        <f aca="false">D25-G25</f>
        <v>2300</v>
      </c>
      <c r="P25" s="63" t="s">
        <v>354</v>
      </c>
    </row>
    <row r="26" customFormat="false" ht="27.75" hidden="false" customHeight="true" outlineLevel="0" collapsed="false">
      <c r="A26" s="56" t="s">
        <v>136</v>
      </c>
      <c r="B26" s="57" t="s">
        <v>137</v>
      </c>
      <c r="C26" s="58" t="s">
        <v>353</v>
      </c>
      <c r="D26" s="59" t="n">
        <v>1050</v>
      </c>
      <c r="E26" s="60" t="n">
        <v>8.5</v>
      </c>
      <c r="F26" s="59" t="n">
        <v>124</v>
      </c>
      <c r="G26" s="59" t="n">
        <v>180</v>
      </c>
      <c r="H26" s="59" t="n">
        <v>0</v>
      </c>
      <c r="I26" s="59" t="n">
        <v>180</v>
      </c>
      <c r="J26" s="59" t="n">
        <v>30</v>
      </c>
      <c r="K26" s="61" t="n">
        <f aca="false">IFERROR(ROUND(G26/J26,1),"N/A")</f>
        <v>6</v>
      </c>
      <c r="L26" s="56" t="str">
        <f aca="false">IFERROR(IF(K26&lt;4,"🔴 &lt;4Q",IF(K26&lt;8,"🟡 4-8Q","🟢 &gt;8Q")),"N/A")</f>
        <v>🟡 4-8Q</v>
      </c>
      <c r="M26" s="58" t="s">
        <v>280</v>
      </c>
      <c r="N26" s="58" t="s">
        <v>280</v>
      </c>
      <c r="O26" s="59" t="n">
        <f aca="false">D26-G26</f>
        <v>870</v>
      </c>
      <c r="P26" s="57" t="s">
        <v>354</v>
      </c>
    </row>
    <row r="27" customFormat="false" ht="27.75" hidden="false" customHeight="true" outlineLevel="0" collapsed="false">
      <c r="A27" s="62" t="s">
        <v>200</v>
      </c>
      <c r="B27" s="63" t="s">
        <v>201</v>
      </c>
      <c r="C27" s="64" t="s">
        <v>353</v>
      </c>
      <c r="D27" s="65" t="n">
        <v>420</v>
      </c>
      <c r="E27" s="66" t="n">
        <v>12.5</v>
      </c>
      <c r="F27" s="65" t="n">
        <v>34</v>
      </c>
      <c r="G27" s="65" t="n">
        <v>120</v>
      </c>
      <c r="H27" s="65" t="n">
        <v>0</v>
      </c>
      <c r="I27" s="65" t="n">
        <v>120</v>
      </c>
      <c r="J27" s="65" t="n">
        <v>35</v>
      </c>
      <c r="K27" s="67" t="n">
        <f aca="false">IFERROR(ROUND(G27/J27,1),"N/A")</f>
        <v>3.4</v>
      </c>
      <c r="L27" s="62" t="str">
        <f aca="false">IFERROR(IF(K27&lt;4,"🔴 &lt;4Q",IF(K27&lt;8,"🟡 4-8Q","🟢 &gt;8Q")),"N/A")</f>
        <v>🔴 &lt;4Q</v>
      </c>
      <c r="M27" s="64" t="s">
        <v>280</v>
      </c>
      <c r="N27" s="64" t="s">
        <v>280</v>
      </c>
      <c r="O27" s="65" t="n">
        <f aca="false">D27-G27</f>
        <v>300</v>
      </c>
      <c r="P27" s="63" t="s">
        <v>354</v>
      </c>
    </row>
    <row r="28" customFormat="false" ht="27.75" hidden="false" customHeight="true" outlineLevel="0" collapsed="false">
      <c r="A28" s="56" t="s">
        <v>226</v>
      </c>
      <c r="B28" s="57" t="s">
        <v>227</v>
      </c>
      <c r="C28" s="58" t="s">
        <v>353</v>
      </c>
      <c r="D28" s="59" t="n">
        <v>480</v>
      </c>
      <c r="E28" s="60" t="n">
        <v>9.5</v>
      </c>
      <c r="F28" s="59" t="n">
        <v>51</v>
      </c>
      <c r="G28" s="59" t="n">
        <v>270</v>
      </c>
      <c r="H28" s="59" t="n">
        <v>0</v>
      </c>
      <c r="I28" s="59" t="n">
        <v>270</v>
      </c>
      <c r="J28" s="59" t="n">
        <v>30</v>
      </c>
      <c r="K28" s="61" t="n">
        <f aca="false">IFERROR(ROUND(G28/J28,1),"N/A")</f>
        <v>9</v>
      </c>
      <c r="L28" s="56" t="str">
        <f aca="false">IFERROR(IF(K28&lt;4,"🔴 &lt;4Q",IF(K28&lt;8,"🟡 4-8Q","🟢 &gt;8Q")),"N/A")</f>
        <v>🟢 &gt;8Q</v>
      </c>
      <c r="M28" s="58" t="s">
        <v>280</v>
      </c>
      <c r="N28" s="58" t="s">
        <v>280</v>
      </c>
      <c r="O28" s="59" t="n">
        <f aca="false">D28-G28</f>
        <v>210</v>
      </c>
      <c r="P28" s="57" t="s">
        <v>354</v>
      </c>
    </row>
    <row r="29" customFormat="false" ht="27.75" hidden="false" customHeight="true" outlineLevel="0" collapsed="false">
      <c r="A29" s="62" t="s">
        <v>35</v>
      </c>
      <c r="B29" s="63" t="s">
        <v>36</v>
      </c>
      <c r="C29" s="64" t="s">
        <v>353</v>
      </c>
      <c r="D29" s="65" t="n">
        <v>280</v>
      </c>
      <c r="E29" s="66" t="n">
        <v>1.4</v>
      </c>
      <c r="F29" s="65" t="n">
        <v>200</v>
      </c>
      <c r="G29" s="65" t="n">
        <v>95</v>
      </c>
      <c r="H29" s="65" t="n">
        <v>0</v>
      </c>
      <c r="I29" s="65" t="n">
        <v>95</v>
      </c>
      <c r="J29" s="65" t="n">
        <v>28</v>
      </c>
      <c r="K29" s="67" t="n">
        <f aca="false">IFERROR(ROUND(G29/J29,1),"N/A")</f>
        <v>3.4</v>
      </c>
      <c r="L29" s="62" t="str">
        <f aca="false">IFERROR(IF(K29&lt;4,"🔴 &lt;4Q",IF(K29&lt;8,"🟡 4-8Q","🟢 &gt;8Q")),"N/A")</f>
        <v>🔴 &lt;4Q</v>
      </c>
      <c r="M29" s="64" t="s">
        <v>280</v>
      </c>
      <c r="N29" s="64" t="s">
        <v>280</v>
      </c>
      <c r="O29" s="65" t="n">
        <f aca="false">D29-G29</f>
        <v>185</v>
      </c>
      <c r="P29" s="63" t="s">
        <v>354</v>
      </c>
    </row>
    <row r="30" customFormat="false" ht="27.75" hidden="false" customHeight="true" outlineLevel="0" collapsed="false">
      <c r="A30" s="56" t="s">
        <v>55</v>
      </c>
      <c r="B30" s="57" t="s">
        <v>56</v>
      </c>
      <c r="C30" s="58" t="s">
        <v>353</v>
      </c>
      <c r="D30" s="59" t="n">
        <v>1850</v>
      </c>
      <c r="E30" s="60" t="n">
        <v>21</v>
      </c>
      <c r="F30" s="59" t="n">
        <v>88</v>
      </c>
      <c r="G30" s="59" t="n">
        <v>410</v>
      </c>
      <c r="H30" s="59" t="n">
        <v>0</v>
      </c>
      <c r="I30" s="59" t="n">
        <v>410</v>
      </c>
      <c r="J30" s="59" t="n">
        <v>55</v>
      </c>
      <c r="K30" s="61" t="n">
        <f aca="false">IFERROR(ROUND(G30/J30,1),"N/A")</f>
        <v>7.5</v>
      </c>
      <c r="L30" s="56" t="str">
        <f aca="false">IFERROR(IF(K30&lt;4,"🔴 &lt;4Q",IF(K30&lt;8,"🟡 4-8Q","🟢 &gt;8Q")),"N/A")</f>
        <v>🟡 4-8Q</v>
      </c>
      <c r="M30" s="58" t="s">
        <v>280</v>
      </c>
      <c r="N30" s="58" t="s">
        <v>280</v>
      </c>
      <c r="O30" s="59" t="n">
        <f aca="false">D30-G30</f>
        <v>1440</v>
      </c>
      <c r="P30" s="57" t="s">
        <v>354</v>
      </c>
    </row>
    <row r="31" customFormat="false" ht="27.75" hidden="false" customHeight="true" outlineLevel="0" collapsed="false">
      <c r="A31" s="62" t="s">
        <v>86</v>
      </c>
      <c r="B31" s="63" t="s">
        <v>87</v>
      </c>
      <c r="C31" s="64" t="s">
        <v>353</v>
      </c>
      <c r="D31" s="65" t="n">
        <v>120</v>
      </c>
      <c r="E31" s="66" t="n">
        <v>2.8</v>
      </c>
      <c r="F31" s="65" t="n">
        <v>43</v>
      </c>
      <c r="G31" s="65" t="n">
        <v>85</v>
      </c>
      <c r="H31" s="65" t="n">
        <v>0</v>
      </c>
      <c r="I31" s="65" t="n">
        <v>85</v>
      </c>
      <c r="J31" s="65" t="n">
        <v>18</v>
      </c>
      <c r="K31" s="67" t="n">
        <f aca="false">IFERROR(ROUND(G31/J31,1),"N/A")</f>
        <v>4.7</v>
      </c>
      <c r="L31" s="62" t="str">
        <f aca="false">IFERROR(IF(K31&lt;4,"🔴 &lt;4Q",IF(K31&lt;8,"🟡 4-8Q","🟢 &gt;8Q")),"N/A")</f>
        <v>🟡 4-8Q</v>
      </c>
      <c r="M31" s="64" t="s">
        <v>280</v>
      </c>
      <c r="N31" s="64" t="s">
        <v>280</v>
      </c>
      <c r="O31" s="65" t="n">
        <f aca="false">D31-G31</f>
        <v>35</v>
      </c>
      <c r="P31" s="63" t="s">
        <v>354</v>
      </c>
    </row>
    <row r="32" customFormat="false" ht="27.75" hidden="false" customHeight="true" outlineLevel="0" collapsed="false">
      <c r="A32" s="56" t="s">
        <v>163</v>
      </c>
      <c r="B32" s="57" t="s">
        <v>164</v>
      </c>
      <c r="C32" s="58" t="s">
        <v>353</v>
      </c>
      <c r="D32" s="59" t="n">
        <v>320</v>
      </c>
      <c r="E32" s="60" t="n">
        <v>11.5</v>
      </c>
      <c r="F32" s="59" t="n">
        <v>28</v>
      </c>
      <c r="G32" s="59" t="n">
        <v>185</v>
      </c>
      <c r="H32" s="59" t="n">
        <v>0</v>
      </c>
      <c r="I32" s="59" t="n">
        <v>185</v>
      </c>
      <c r="J32" s="59" t="n">
        <v>22</v>
      </c>
      <c r="K32" s="61" t="n">
        <f aca="false">IFERROR(ROUND(G32/J32,1),"N/A")</f>
        <v>8.4</v>
      </c>
      <c r="L32" s="56" t="str">
        <f aca="false">IFERROR(IF(K32&lt;4,"🔴 &lt;4Q",IF(K32&lt;8,"🟡 4-8Q","🟢 &gt;8Q")),"N/A")</f>
        <v>🟢 &gt;8Q</v>
      </c>
      <c r="M32" s="58" t="s">
        <v>280</v>
      </c>
      <c r="N32" s="58" t="s">
        <v>280</v>
      </c>
      <c r="O32" s="59" t="n">
        <f aca="false">D32-G32</f>
        <v>135</v>
      </c>
      <c r="P32" s="57" t="s">
        <v>354</v>
      </c>
    </row>
    <row r="33" customFormat="false" ht="27.75" hidden="false" customHeight="true" outlineLevel="0" collapsed="false">
      <c r="A33" s="62" t="s">
        <v>220</v>
      </c>
      <c r="B33" s="63" t="s">
        <v>221</v>
      </c>
      <c r="C33" s="64" t="s">
        <v>353</v>
      </c>
      <c r="D33" s="65" t="n">
        <v>1100</v>
      </c>
      <c r="E33" s="66" t="n">
        <v>6.5</v>
      </c>
      <c r="F33" s="65" t="n">
        <v>169</v>
      </c>
      <c r="G33" s="65" t="n">
        <v>210</v>
      </c>
      <c r="H33" s="65" t="n">
        <v>0</v>
      </c>
      <c r="I33" s="65" t="n">
        <v>210</v>
      </c>
      <c r="J33" s="65" t="n">
        <v>45</v>
      </c>
      <c r="K33" s="67" t="n">
        <f aca="false">IFERROR(ROUND(G33/J33,1),"N/A")</f>
        <v>4.7</v>
      </c>
      <c r="L33" s="62" t="str">
        <f aca="false">IFERROR(IF(K33&lt;4,"🔴 &lt;4Q",IF(K33&lt;8,"🟡 4-8Q","🟢 &gt;8Q")),"N/A")</f>
        <v>🟡 4-8Q</v>
      </c>
      <c r="M33" s="64" t="s">
        <v>280</v>
      </c>
      <c r="N33" s="64" t="s">
        <v>280</v>
      </c>
      <c r="O33" s="65" t="n">
        <f aca="false">D33-G33</f>
        <v>890</v>
      </c>
      <c r="P33" s="63" t="s">
        <v>354</v>
      </c>
    </row>
    <row r="34" customFormat="false" ht="27.75" hidden="false" customHeight="true" outlineLevel="0" collapsed="false">
      <c r="A34" s="56" t="s">
        <v>231</v>
      </c>
      <c r="B34" s="57" t="s">
        <v>232</v>
      </c>
      <c r="C34" s="58" t="s">
        <v>353</v>
      </c>
      <c r="D34" s="59" t="n">
        <v>85</v>
      </c>
      <c r="E34" s="60" t="n">
        <v>2.1</v>
      </c>
      <c r="F34" s="59" t="n">
        <v>40</v>
      </c>
      <c r="G34" s="59" t="n">
        <v>42</v>
      </c>
      <c r="H34" s="59" t="n">
        <v>0</v>
      </c>
      <c r="I34" s="59" t="n">
        <v>42</v>
      </c>
      <c r="J34" s="59" t="n">
        <v>8</v>
      </c>
      <c r="K34" s="61" t="n">
        <f aca="false">IFERROR(ROUND(G34/J34,1),"N/A")</f>
        <v>5.3</v>
      </c>
      <c r="L34" s="56" t="str">
        <f aca="false">IFERROR(IF(K34&lt;4,"🔴 &lt;4Q",IF(K34&lt;8,"🟡 4-8Q","🟢 &gt;8Q")),"N/A")</f>
        <v>🟡 4-8Q</v>
      </c>
      <c r="M34" s="58" t="s">
        <v>280</v>
      </c>
      <c r="N34" s="58" t="s">
        <v>280</v>
      </c>
      <c r="O34" s="59" t="n">
        <f aca="false">D34-G34</f>
        <v>43</v>
      </c>
      <c r="P34" s="57" t="s">
        <v>354</v>
      </c>
    </row>
    <row r="35" customFormat="false" ht="27.75" hidden="false" customHeight="true" outlineLevel="0" collapsed="false">
      <c r="A35" s="62" t="s">
        <v>116</v>
      </c>
      <c r="B35" s="63" t="s">
        <v>117</v>
      </c>
      <c r="C35" s="64" t="s">
        <v>353</v>
      </c>
      <c r="D35" s="65" t="n">
        <v>4100</v>
      </c>
      <c r="E35" s="66" t="n">
        <v>168</v>
      </c>
      <c r="F35" s="65" t="n">
        <v>24</v>
      </c>
      <c r="G35" s="65" t="n">
        <v>780</v>
      </c>
      <c r="H35" s="65" t="n">
        <v>0</v>
      </c>
      <c r="I35" s="65" t="n">
        <v>780</v>
      </c>
      <c r="J35" s="65" t="n">
        <v>-30</v>
      </c>
      <c r="K35" s="67" t="s">
        <v>121</v>
      </c>
      <c r="L35" s="62" t="s">
        <v>122</v>
      </c>
      <c r="M35" s="64" t="s">
        <v>280</v>
      </c>
      <c r="N35" s="64" t="s">
        <v>280</v>
      </c>
      <c r="O35" s="65" t="n">
        <f aca="false">D35-G35</f>
        <v>3320</v>
      </c>
      <c r="P35" s="63" t="s">
        <v>354</v>
      </c>
    </row>
  </sheetData>
  <autoFilter ref="A5:P5"/>
  <mergeCells count="3">
    <mergeCell ref="A2:P2"/>
    <mergeCell ref="A3:P3"/>
    <mergeCell ref="A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7" min="6" style="1" width="14"/>
    <col collapsed="false" customWidth="true" hidden="false" outlineLevel="0" max="9" min="8" style="1" width="26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20"/>
  </cols>
  <sheetData>
    <row r="1" customFormat="false" ht="7.5" hidden="false" customHeight="true" outlineLevel="0" collapsed="false"/>
    <row r="2" customFormat="false" ht="36" hidden="false" customHeight="true" outlineLevel="0" collapsed="false">
      <c r="A2" s="68" t="s">
        <v>356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customFormat="false" ht="18" hidden="false" customHeight="true" outlineLevel="0" collapsed="false">
      <c r="A3" s="69" t="s">
        <v>357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customFormat="false" ht="6" hidden="false" customHeight="true" outlineLevel="0" collapsed="false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customFormat="false" ht="39.75" hidden="false" customHeight="true" outlineLevel="0" collapsed="false">
      <c r="A5" s="71" t="s">
        <v>3</v>
      </c>
      <c r="B5" s="71" t="s">
        <v>240</v>
      </c>
      <c r="C5" s="71" t="s">
        <v>358</v>
      </c>
      <c r="D5" s="71" t="s">
        <v>244</v>
      </c>
      <c r="E5" s="71" t="s">
        <v>359</v>
      </c>
      <c r="F5" s="71" t="s">
        <v>360</v>
      </c>
      <c r="G5" s="71" t="s">
        <v>361</v>
      </c>
      <c r="H5" s="71" t="s">
        <v>362</v>
      </c>
      <c r="I5" s="71" t="s">
        <v>363</v>
      </c>
      <c r="J5" s="71" t="s">
        <v>14</v>
      </c>
      <c r="K5" s="71" t="s">
        <v>364</v>
      </c>
      <c r="L5" s="71" t="s">
        <v>365</v>
      </c>
    </row>
    <row r="6" customFormat="false" ht="42" hidden="false" customHeight="true" outlineLevel="0" collapsed="false">
      <c r="A6" s="72" t="s">
        <v>180</v>
      </c>
      <c r="B6" s="50" t="s">
        <v>181</v>
      </c>
      <c r="C6" s="49" t="s">
        <v>184</v>
      </c>
      <c r="D6" s="50" t="s">
        <v>183</v>
      </c>
      <c r="E6" s="49" t="s">
        <v>185</v>
      </c>
      <c r="F6" s="49" t="s">
        <v>100</v>
      </c>
      <c r="G6" s="39" t="s">
        <v>366</v>
      </c>
      <c r="H6" s="50" t="s">
        <v>367</v>
      </c>
      <c r="I6" s="50" t="s">
        <v>368</v>
      </c>
      <c r="J6" s="73" t="n">
        <v>2200</v>
      </c>
      <c r="K6" s="49" t="s">
        <v>369</v>
      </c>
      <c r="L6" s="49" t="s">
        <v>370</v>
      </c>
    </row>
    <row r="7" customFormat="false" ht="42" hidden="false" customHeight="true" outlineLevel="0" collapsed="false">
      <c r="A7" s="74" t="s">
        <v>81</v>
      </c>
      <c r="B7" s="75" t="s">
        <v>82</v>
      </c>
      <c r="C7" s="76" t="s">
        <v>84</v>
      </c>
      <c r="D7" s="75" t="s">
        <v>371</v>
      </c>
      <c r="E7" s="76" t="s">
        <v>42</v>
      </c>
      <c r="F7" s="76" t="s">
        <v>31</v>
      </c>
      <c r="G7" s="39" t="s">
        <v>366</v>
      </c>
      <c r="H7" s="75" t="s">
        <v>372</v>
      </c>
      <c r="I7" s="75" t="s">
        <v>373</v>
      </c>
      <c r="J7" s="77" t="n">
        <v>5200</v>
      </c>
      <c r="K7" s="76" t="s">
        <v>369</v>
      </c>
      <c r="L7" s="76" t="s">
        <v>374</v>
      </c>
    </row>
    <row r="8" customFormat="false" ht="42" hidden="false" customHeight="true" outlineLevel="0" collapsed="false">
      <c r="A8" s="72" t="s">
        <v>156</v>
      </c>
      <c r="B8" s="50" t="s">
        <v>157</v>
      </c>
      <c r="C8" s="49" t="s">
        <v>159</v>
      </c>
      <c r="D8" s="50" t="s">
        <v>285</v>
      </c>
      <c r="E8" s="49" t="s">
        <v>160</v>
      </c>
      <c r="F8" s="49" t="s">
        <v>77</v>
      </c>
      <c r="G8" s="39" t="s">
        <v>366</v>
      </c>
      <c r="H8" s="50" t="s">
        <v>375</v>
      </c>
      <c r="I8" s="50" t="s">
        <v>376</v>
      </c>
      <c r="J8" s="73" t="n">
        <v>108000</v>
      </c>
      <c r="K8" s="49" t="s">
        <v>377</v>
      </c>
      <c r="L8" s="49" t="s">
        <v>378</v>
      </c>
    </row>
    <row r="9" customFormat="false" ht="42" hidden="false" customHeight="true" outlineLevel="0" collapsed="false">
      <c r="A9" s="74" t="s">
        <v>169</v>
      </c>
      <c r="B9" s="75" t="s">
        <v>170</v>
      </c>
      <c r="C9" s="76" t="s">
        <v>172</v>
      </c>
      <c r="D9" s="75" t="s">
        <v>302</v>
      </c>
      <c r="E9" s="76" t="s">
        <v>32</v>
      </c>
      <c r="F9" s="76" t="s">
        <v>31</v>
      </c>
      <c r="G9" s="29" t="s">
        <v>379</v>
      </c>
      <c r="H9" s="75" t="s">
        <v>380</v>
      </c>
      <c r="I9" s="75" t="s">
        <v>381</v>
      </c>
      <c r="J9" s="77" t="n">
        <v>1600</v>
      </c>
      <c r="K9" s="76" t="s">
        <v>377</v>
      </c>
      <c r="L9" s="76" t="s">
        <v>382</v>
      </c>
    </row>
    <row r="10" customFormat="false" ht="42" hidden="false" customHeight="true" outlineLevel="0" collapsed="false">
      <c r="A10" s="72" t="s">
        <v>103</v>
      </c>
      <c r="B10" s="50" t="s">
        <v>270</v>
      </c>
      <c r="C10" s="49" t="s">
        <v>107</v>
      </c>
      <c r="D10" s="50" t="s">
        <v>383</v>
      </c>
      <c r="E10" s="49" t="s">
        <v>32</v>
      </c>
      <c r="F10" s="49" t="s">
        <v>31</v>
      </c>
      <c r="G10" s="39" t="s">
        <v>366</v>
      </c>
      <c r="H10" s="50" t="s">
        <v>384</v>
      </c>
      <c r="I10" s="50" t="s">
        <v>385</v>
      </c>
      <c r="J10" s="73" t="n">
        <v>2100</v>
      </c>
      <c r="K10" s="49" t="s">
        <v>377</v>
      </c>
      <c r="L10" s="49" t="s">
        <v>386</v>
      </c>
    </row>
    <row r="11" customFormat="false" ht="42" hidden="false" customHeight="true" outlineLevel="0" collapsed="false">
      <c r="A11" s="74" t="s">
        <v>94</v>
      </c>
      <c r="B11" s="75" t="s">
        <v>95</v>
      </c>
      <c r="C11" s="76" t="s">
        <v>99</v>
      </c>
      <c r="D11" s="75" t="s">
        <v>88</v>
      </c>
      <c r="E11" s="76" t="s">
        <v>211</v>
      </c>
      <c r="F11" s="76" t="s">
        <v>100</v>
      </c>
      <c r="G11" s="29" t="s">
        <v>379</v>
      </c>
      <c r="H11" s="75" t="s">
        <v>387</v>
      </c>
      <c r="I11" s="75" t="s">
        <v>388</v>
      </c>
      <c r="J11" s="77" t="n">
        <v>1700</v>
      </c>
      <c r="K11" s="76" t="s">
        <v>377</v>
      </c>
      <c r="L11" s="76" t="s">
        <v>389</v>
      </c>
    </row>
    <row r="12" customFormat="false" ht="42" hidden="false" customHeight="true" outlineLevel="0" collapsed="false">
      <c r="A12" s="72" t="s">
        <v>23</v>
      </c>
      <c r="B12" s="50" t="s">
        <v>24</v>
      </c>
      <c r="C12" s="49" t="s">
        <v>29</v>
      </c>
      <c r="D12" s="50" t="s">
        <v>257</v>
      </c>
      <c r="E12" s="49" t="s">
        <v>32</v>
      </c>
      <c r="F12" s="49" t="s">
        <v>31</v>
      </c>
      <c r="G12" s="39" t="s">
        <v>366</v>
      </c>
      <c r="H12" s="50" t="s">
        <v>390</v>
      </c>
      <c r="I12" s="50" t="s">
        <v>391</v>
      </c>
      <c r="J12" s="73" t="n">
        <v>45000</v>
      </c>
      <c r="K12" s="49" t="s">
        <v>377</v>
      </c>
      <c r="L12" s="49" t="s">
        <v>392</v>
      </c>
    </row>
    <row r="13" customFormat="false" ht="42" hidden="false" customHeight="true" outlineLevel="0" collapsed="false">
      <c r="A13" s="74" t="s">
        <v>64</v>
      </c>
      <c r="B13" s="75" t="s">
        <v>65</v>
      </c>
      <c r="C13" s="76" t="s">
        <v>68</v>
      </c>
      <c r="D13" s="75" t="s">
        <v>67</v>
      </c>
      <c r="E13" s="76" t="s">
        <v>32</v>
      </c>
      <c r="F13" s="76" t="s">
        <v>69</v>
      </c>
      <c r="G13" s="39" t="s">
        <v>366</v>
      </c>
      <c r="H13" s="75" t="s">
        <v>393</v>
      </c>
      <c r="I13" s="75" t="s">
        <v>394</v>
      </c>
      <c r="J13" s="77" t="n">
        <v>2400</v>
      </c>
      <c r="K13" s="76" t="s">
        <v>395</v>
      </c>
      <c r="L13" s="76" t="s">
        <v>378</v>
      </c>
    </row>
    <row r="14" customFormat="false" ht="42" hidden="false" customHeight="true" outlineLevel="0" collapsed="false">
      <c r="A14" s="72" t="s">
        <v>163</v>
      </c>
      <c r="B14" s="50" t="s">
        <v>164</v>
      </c>
      <c r="C14" s="49" t="s">
        <v>167</v>
      </c>
      <c r="D14" s="50" t="s">
        <v>396</v>
      </c>
      <c r="E14" s="49" t="s">
        <v>32</v>
      </c>
      <c r="F14" s="49" t="s">
        <v>41</v>
      </c>
      <c r="G14" s="29" t="s">
        <v>379</v>
      </c>
      <c r="H14" s="50" t="s">
        <v>397</v>
      </c>
      <c r="I14" s="50" t="s">
        <v>398</v>
      </c>
      <c r="J14" s="73" t="n">
        <v>320</v>
      </c>
      <c r="K14" s="49" t="s">
        <v>395</v>
      </c>
      <c r="L14" s="49" t="s">
        <v>399</v>
      </c>
    </row>
    <row r="15" customFormat="false" ht="42" hidden="false" customHeight="true" outlineLevel="0" collapsed="false">
      <c r="A15" s="74" t="s">
        <v>200</v>
      </c>
      <c r="B15" s="75" t="s">
        <v>201</v>
      </c>
      <c r="C15" s="76" t="s">
        <v>203</v>
      </c>
      <c r="D15" s="75" t="s">
        <v>400</v>
      </c>
      <c r="E15" s="76" t="s">
        <v>401</v>
      </c>
      <c r="F15" s="76" t="s">
        <v>77</v>
      </c>
      <c r="G15" s="39" t="s">
        <v>366</v>
      </c>
      <c r="H15" s="75" t="s">
        <v>402</v>
      </c>
      <c r="I15" s="75" t="s">
        <v>403</v>
      </c>
      <c r="J15" s="77" t="n">
        <v>420</v>
      </c>
      <c r="K15" s="76" t="s">
        <v>395</v>
      </c>
      <c r="L15" s="76" t="s">
        <v>404</v>
      </c>
    </row>
    <row r="16" customFormat="false" ht="42" hidden="false" customHeight="true" outlineLevel="0" collapsed="false">
      <c r="A16" s="72" t="s">
        <v>72</v>
      </c>
      <c r="B16" s="50" t="s">
        <v>73</v>
      </c>
      <c r="C16" s="49" t="s">
        <v>75</v>
      </c>
      <c r="D16" s="50" t="s">
        <v>320</v>
      </c>
      <c r="E16" s="49" t="s">
        <v>78</v>
      </c>
      <c r="F16" s="49" t="s">
        <v>77</v>
      </c>
      <c r="G16" s="29" t="s">
        <v>379</v>
      </c>
      <c r="H16" s="50" t="s">
        <v>405</v>
      </c>
      <c r="I16" s="50" t="s">
        <v>406</v>
      </c>
      <c r="J16" s="73" t="n">
        <v>1200</v>
      </c>
      <c r="K16" s="49" t="s">
        <v>395</v>
      </c>
      <c r="L16" s="49" t="s">
        <v>407</v>
      </c>
    </row>
    <row r="17" customFormat="false" ht="42" hidden="false" customHeight="true" outlineLevel="0" collapsed="false">
      <c r="A17" s="74" t="s">
        <v>226</v>
      </c>
      <c r="B17" s="75" t="s">
        <v>227</v>
      </c>
      <c r="C17" s="76" t="s">
        <v>229</v>
      </c>
      <c r="D17" s="75" t="s">
        <v>228</v>
      </c>
      <c r="E17" s="76" t="s">
        <v>42</v>
      </c>
      <c r="F17" s="76" t="s">
        <v>31</v>
      </c>
      <c r="G17" s="29" t="s">
        <v>379</v>
      </c>
      <c r="H17" s="75" t="s">
        <v>408</v>
      </c>
      <c r="I17" s="75" t="s">
        <v>409</v>
      </c>
      <c r="J17" s="77" t="n">
        <v>480</v>
      </c>
      <c r="K17" s="76" t="s">
        <v>410</v>
      </c>
      <c r="L17" s="76" t="s">
        <v>378</v>
      </c>
    </row>
    <row r="18" customFormat="false" ht="42" hidden="false" customHeight="true" outlineLevel="0" collapsed="false">
      <c r="A18" s="72" t="s">
        <v>231</v>
      </c>
      <c r="B18" s="50" t="s">
        <v>232</v>
      </c>
      <c r="C18" s="49" t="s">
        <v>235</v>
      </c>
      <c r="D18" s="50" t="s">
        <v>234</v>
      </c>
      <c r="E18" s="49" t="s">
        <v>236</v>
      </c>
      <c r="F18" s="49" t="s">
        <v>61</v>
      </c>
      <c r="G18" s="15" t="s">
        <v>411</v>
      </c>
      <c r="H18" s="50" t="s">
        <v>412</v>
      </c>
      <c r="I18" s="50" t="s">
        <v>413</v>
      </c>
      <c r="J18" s="73" t="n">
        <v>85</v>
      </c>
      <c r="K18" s="49" t="s">
        <v>410</v>
      </c>
      <c r="L18" s="49" t="s">
        <v>378</v>
      </c>
    </row>
    <row r="19" customFormat="false" ht="42" hidden="false" customHeight="true" outlineLevel="0" collapsed="false">
      <c r="A19" s="74" t="s">
        <v>35</v>
      </c>
      <c r="B19" s="75" t="s">
        <v>36</v>
      </c>
      <c r="C19" s="76" t="s">
        <v>39</v>
      </c>
      <c r="D19" s="75" t="s">
        <v>37</v>
      </c>
      <c r="E19" s="76" t="s">
        <v>42</v>
      </c>
      <c r="F19" s="76" t="s">
        <v>41</v>
      </c>
      <c r="G19" s="15" t="s">
        <v>411</v>
      </c>
      <c r="H19" s="75" t="s">
        <v>414</v>
      </c>
      <c r="I19" s="75" t="s">
        <v>415</v>
      </c>
      <c r="J19" s="77" t="n">
        <v>280</v>
      </c>
      <c r="K19" s="76" t="s">
        <v>416</v>
      </c>
      <c r="L19" s="76" t="s">
        <v>378</v>
      </c>
    </row>
  </sheetData>
  <autoFilter ref="A5:L5"/>
  <mergeCells count="3">
    <mergeCell ref="A2:L2"/>
    <mergeCell ref="A3:L3"/>
    <mergeCell ref="A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B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70"/>
    <col collapsed="false" customWidth="true" hidden="false" outlineLevel="0" max="4" min="4" style="1" width="3"/>
  </cols>
  <sheetData>
    <row r="1" customFormat="false" ht="39.75" hidden="false" customHeight="true" outlineLevel="0" collapsed="false">
      <c r="B1" s="78" t="s">
        <v>417</v>
      </c>
      <c r="C1" s="78"/>
    </row>
    <row r="2" customFormat="false" ht="21.75" hidden="false" customHeight="true" outlineLevel="0" collapsed="false">
      <c r="B2" s="79" t="s">
        <v>418</v>
      </c>
      <c r="C2" s="80"/>
    </row>
    <row r="3" customFormat="false" ht="21.75" hidden="false" customHeight="true" outlineLevel="0" collapsed="false">
      <c r="B3" s="81" t="s">
        <v>419</v>
      </c>
      <c r="C3" s="82" t="s">
        <v>420</v>
      </c>
    </row>
    <row r="4" customFormat="false" ht="21.75" hidden="false" customHeight="true" outlineLevel="0" collapsed="false">
      <c r="B4" s="81" t="s">
        <v>421</v>
      </c>
      <c r="C4" s="82" t="s">
        <v>422</v>
      </c>
    </row>
    <row r="5" customFormat="false" ht="21.75" hidden="false" customHeight="true" outlineLevel="0" collapsed="false">
      <c r="B5" s="81" t="s">
        <v>423</v>
      </c>
      <c r="C5" s="82" t="s">
        <v>424</v>
      </c>
    </row>
    <row r="6" customFormat="false" ht="21.75" hidden="false" customHeight="true" outlineLevel="0" collapsed="false">
      <c r="B6" s="81" t="s">
        <v>425</v>
      </c>
      <c r="C6" s="82" t="s">
        <v>426</v>
      </c>
    </row>
    <row r="7" customFormat="false" ht="21.75" hidden="false" customHeight="true" outlineLevel="0" collapsed="false">
      <c r="B7" s="79"/>
      <c r="C7" s="82"/>
    </row>
    <row r="8" customFormat="false" ht="21.75" hidden="false" customHeight="true" outlineLevel="0" collapsed="false">
      <c r="B8" s="79" t="s">
        <v>427</v>
      </c>
      <c r="C8" s="80"/>
    </row>
    <row r="9" customFormat="false" ht="21.75" hidden="false" customHeight="true" outlineLevel="0" collapsed="false">
      <c r="B9" s="83" t="s">
        <v>17</v>
      </c>
      <c r="C9" s="82" t="s">
        <v>428</v>
      </c>
    </row>
    <row r="10" customFormat="false" ht="21.75" hidden="false" customHeight="true" outlineLevel="0" collapsed="false">
      <c r="B10" s="83" t="s">
        <v>19</v>
      </c>
      <c r="C10" s="82" t="s">
        <v>429</v>
      </c>
    </row>
    <row r="11" customFormat="false" ht="21.75" hidden="false" customHeight="true" outlineLevel="0" collapsed="false">
      <c r="B11" s="83" t="s">
        <v>10</v>
      </c>
      <c r="C11" s="82" t="s">
        <v>430</v>
      </c>
    </row>
    <row r="12" customFormat="false" ht="21.75" hidden="false" customHeight="true" outlineLevel="0" collapsed="false">
      <c r="B12" s="83" t="s">
        <v>12</v>
      </c>
      <c r="C12" s="82" t="s">
        <v>431</v>
      </c>
    </row>
    <row r="13" customFormat="false" ht="21.75" hidden="false" customHeight="true" outlineLevel="0" collapsed="false">
      <c r="B13" s="83" t="s">
        <v>8</v>
      </c>
      <c r="C13" s="82" t="s">
        <v>432</v>
      </c>
    </row>
    <row r="14" customFormat="false" ht="21.75" hidden="false" customHeight="true" outlineLevel="0" collapsed="false">
      <c r="B14" s="83" t="s">
        <v>364</v>
      </c>
      <c r="C14" s="82" t="s">
        <v>433</v>
      </c>
    </row>
    <row r="15" customFormat="false" ht="21.75" hidden="false" customHeight="true" outlineLevel="0" collapsed="false">
      <c r="B15" s="79"/>
      <c r="C15" s="82"/>
    </row>
    <row r="16" customFormat="false" ht="21.75" hidden="false" customHeight="true" outlineLevel="0" collapsed="false">
      <c r="B16" s="79" t="s">
        <v>434</v>
      </c>
      <c r="C16" s="80"/>
    </row>
    <row r="17" customFormat="false" ht="21.75" hidden="false" customHeight="true" outlineLevel="0" collapsed="false">
      <c r="B17" s="84" t="s">
        <v>435</v>
      </c>
      <c r="C17" s="82" t="s">
        <v>436</v>
      </c>
    </row>
    <row r="18" customFormat="false" ht="21.75" hidden="false" customHeight="true" outlineLevel="0" collapsed="false">
      <c r="B18" s="84" t="s">
        <v>437</v>
      </c>
      <c r="C18" s="82" t="s">
        <v>438</v>
      </c>
    </row>
    <row r="19" customFormat="false" ht="21.75" hidden="false" customHeight="true" outlineLevel="0" collapsed="false">
      <c r="B19" s="84" t="s">
        <v>439</v>
      </c>
      <c r="C19" s="82" t="s">
        <v>440</v>
      </c>
    </row>
    <row r="20" customFormat="false" ht="21.75" hidden="false" customHeight="true" outlineLevel="0" collapsed="false">
      <c r="B20" s="84" t="s">
        <v>441</v>
      </c>
      <c r="C20" s="82" t="s">
        <v>442</v>
      </c>
    </row>
    <row r="21" customFormat="false" ht="21.75" hidden="false" customHeight="true" outlineLevel="0" collapsed="false">
      <c r="B21" s="84" t="s">
        <v>443</v>
      </c>
      <c r="C21" s="82" t="s">
        <v>444</v>
      </c>
    </row>
    <row r="22" customFormat="false" ht="21.75" hidden="false" customHeight="true" outlineLevel="0" collapsed="false">
      <c r="B22" s="84" t="s">
        <v>445</v>
      </c>
      <c r="C22" s="82" t="s">
        <v>446</v>
      </c>
    </row>
    <row r="23" customFormat="false" ht="21.75" hidden="false" customHeight="true" outlineLevel="0" collapsed="false">
      <c r="B23" s="79"/>
      <c r="C23" s="82"/>
    </row>
    <row r="24" customFormat="false" ht="21.75" hidden="false" customHeight="true" outlineLevel="0" collapsed="false">
      <c r="B24" s="79" t="s">
        <v>447</v>
      </c>
      <c r="C24" s="80"/>
    </row>
    <row r="25" customFormat="false" ht="21.75" hidden="false" customHeight="true" outlineLevel="0" collapsed="false">
      <c r="B25" s="84" t="s">
        <v>448</v>
      </c>
      <c r="C25" s="82" t="s">
        <v>449</v>
      </c>
    </row>
    <row r="26" customFormat="false" ht="21.75" hidden="false" customHeight="true" outlineLevel="0" collapsed="false">
      <c r="B26" s="84" t="s">
        <v>450</v>
      </c>
      <c r="C26" s="82" t="s">
        <v>451</v>
      </c>
    </row>
    <row r="27" customFormat="false" ht="21.75" hidden="false" customHeight="true" outlineLevel="0" collapsed="false">
      <c r="B27" s="85" t="s">
        <v>452</v>
      </c>
      <c r="C27" s="82" t="s">
        <v>453</v>
      </c>
    </row>
    <row r="28" customFormat="false" ht="21.75" hidden="false" customHeight="true" outlineLevel="0" collapsed="false">
      <c r="B28" s="86" t="s">
        <v>454</v>
      </c>
      <c r="C28" s="82" t="s">
        <v>455</v>
      </c>
    </row>
    <row r="29" customFormat="false" ht="21.75" hidden="false" customHeight="true" outlineLevel="0" collapsed="false">
      <c r="B29" s="87" t="s">
        <v>456</v>
      </c>
      <c r="C29" s="82" t="s">
        <v>457</v>
      </c>
    </row>
    <row r="30" customFormat="false" ht="21.75" hidden="false" customHeight="true" outlineLevel="0" collapsed="false">
      <c r="B30" s="87" t="s">
        <v>122</v>
      </c>
      <c r="C30" s="82" t="s">
        <v>458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2026-03-14T12:46:53Z</dcterms:created>
  <dc:creator>openpyxl</dc:creator>
  <dc:description/>
  <dc:language>en-US</dc:language>
  <cp:lastModifiedBy/>
  <dcterms:modified xsi:type="dcterms:W3CDTF">2026-03-14T12:47:16Z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