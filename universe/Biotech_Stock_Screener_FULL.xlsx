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 Screener" sheetId="1" state="visible" r:id="rId1"/>
    <sheet xmlns:r="http://schemas.openxmlformats.org/officeDocument/2006/relationships" name="🧬 Pipeline DB" sheetId="2" state="visible" r:id="rId2"/>
    <sheet xmlns:r="http://schemas.openxmlformats.org/officeDocument/2006/relationships" name="💰 Financials DB" sheetId="3" state="visible" r:id="rId3"/>
    <sheet xmlns:r="http://schemas.openxmlformats.org/officeDocument/2006/relationships" name="📅 Catalyst Calendar" sheetId="4" state="visible" r:id="rId4"/>
    <sheet xmlns:r="http://schemas.openxmlformats.org/officeDocument/2006/relationships" name="📖 Instructions" sheetId="5" state="visible" r:id="rId5"/>
  </sheets>
  <definedNames>
    <definedName name="_xlnm._FilterDatabase" localSheetId="0" hidden="1">'📊 Screener'!$A$6:$T$261</definedName>
    <definedName name="_xlnm._FilterDatabase" localSheetId="1" hidden="1">'🧬 Pipeline DB'!$A$5:$R$5</definedName>
    <definedName name="_xlnm._FilterDatabase" localSheetId="2" hidden="1">'💰 Financials DB'!$A$5:$P$260</definedName>
    <definedName name="_xlnm._FilterDatabase" localSheetId="3" hidden="1">'📅 Catalyst Calendar'!$A$5:$L$5</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53">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8"/>
    </font>
    <font>
      <name val="Arial"/>
      <charset val="1"/>
      <family val="0"/>
      <color rgb="FFB2DFE5"/>
      <sz val="9"/>
    </font>
    <font>
      <name val="Arial"/>
      <charset val="1"/>
      <family val="0"/>
      <i val="1"/>
      <color rgb="FFAAAAAA"/>
      <sz val="8"/>
    </font>
    <font>
      <name val="Arial"/>
      <charset val="1"/>
      <family val="0"/>
      <b val="1"/>
      <color rgb="FFFFFFFF"/>
      <sz val="9"/>
    </font>
    <font>
      <name val="Arial"/>
      <charset val="1"/>
      <family val="0"/>
      <b val="1"/>
      <color rgb="FF1B2A4A"/>
      <sz val="10"/>
    </font>
    <font>
      <name val="Arial"/>
      <charset val="1"/>
      <family val="0"/>
      <color rgb="FF000000"/>
      <sz val="10"/>
    </font>
    <font>
      <name val="Arial"/>
      <charset val="1"/>
      <family val="0"/>
      <b val="1"/>
      <color rgb="FFC0392B"/>
      <sz val="9"/>
    </font>
    <font>
      <name val="Arial"/>
      <charset val="1"/>
      <family val="0"/>
      <color rgb="FF1A7A4A"/>
      <sz val="9"/>
    </font>
    <font>
      <name val="Arial"/>
      <charset val="1"/>
      <family val="0"/>
      <b val="1"/>
      <color rgb="FF1A56DB"/>
      <sz val="9"/>
    </font>
    <font>
      <name val="Arial"/>
      <charset val="1"/>
      <family val="0"/>
      <color rgb="FF0000FF"/>
      <sz val="10"/>
    </font>
    <font>
      <name val="Arial"/>
      <charset val="1"/>
      <family val="0"/>
      <b val="1"/>
      <color rgb="FF000000"/>
      <sz val="10"/>
    </font>
    <font>
      <name val="Arial"/>
      <charset val="1"/>
      <family val="0"/>
      <i val="1"/>
      <color rgb="FF595959"/>
      <sz val="9"/>
    </font>
    <font>
      <name val="Arial"/>
      <charset val="1"/>
      <family val="0"/>
      <color rgb="FF8B1A6B"/>
      <sz val="9"/>
    </font>
    <font>
      <name val="Arial"/>
      <charset val="1"/>
      <family val="0"/>
      <b val="1"/>
      <color rgb="FFC27803"/>
      <sz val="9"/>
    </font>
    <font>
      <name val="Arial"/>
      <charset val="1"/>
      <family val="0"/>
      <color rgb="FF1A6FA8"/>
      <sz val="9"/>
    </font>
    <font>
      <name val="Arial"/>
      <charset val="1"/>
      <family val="0"/>
      <color rgb="FFA05C00"/>
      <sz val="9"/>
    </font>
    <font>
      <name val="Arial"/>
      <charset val="1"/>
      <family val="0"/>
      <b val="1"/>
      <color rgb="FF1A7A4A"/>
      <sz val="9"/>
    </font>
    <font>
      <name val="Arial"/>
      <charset val="1"/>
      <family val="0"/>
      <color rgb="FF6A1B9A"/>
      <sz val="9"/>
    </font>
    <font>
      <name val="Arial"/>
      <charset val="1"/>
      <family val="0"/>
      <b val="1"/>
      <color rgb="FFA05C00"/>
      <sz val="9"/>
    </font>
    <font>
      <name val="Arial"/>
      <charset val="1"/>
      <family val="0"/>
      <color rgb="FF1A7A4A"/>
      <sz val="10"/>
    </font>
    <font>
      <name val="Arial"/>
      <charset val="1"/>
      <family val="0"/>
      <b val="1"/>
      <color rgb="FF595959"/>
      <sz val="9"/>
    </font>
    <font>
      <name val="Arial"/>
      <charset val="1"/>
      <family val="0"/>
      <b val="1"/>
      <color rgb="FF7B2FBE"/>
      <sz val="9"/>
    </font>
    <font>
      <name val="Arial"/>
      <charset val="1"/>
      <family val="0"/>
      <b val="1"/>
      <color rgb="FFFFFFFF"/>
      <sz val="14"/>
    </font>
    <font>
      <name val="Arial"/>
      <charset val="1"/>
      <family val="0"/>
      <i val="1"/>
      <color rgb="FFFFFFFF"/>
      <sz val="8"/>
    </font>
    <font>
      <name val="Arial"/>
      <charset val="1"/>
      <family val="0"/>
      <sz val="9"/>
    </font>
    <font>
      <name val="Arial"/>
      <charset val="1"/>
      <family val="0"/>
      <b val="1"/>
      <sz val="9"/>
    </font>
    <font>
      <name val="Arial"/>
      <charset val="1"/>
      <family val="0"/>
      <b val="1"/>
      <color rgb="FFFFFFFF"/>
      <sz val="10"/>
    </font>
    <font>
      <name val="Arial"/>
      <b val="1"/>
      <color rgb="001B2A4A"/>
      <sz val="9"/>
    </font>
    <font>
      <name val="Arial"/>
      <sz val="9"/>
    </font>
    <font>
      <name val="Arial"/>
      <color rgb="00595959"/>
      <sz val="9"/>
    </font>
    <font>
      <name val="Arial"/>
      <color rgb="001A7A4A"/>
      <sz val="9"/>
    </font>
    <font>
      <name val="Arial"/>
      <b val="1"/>
      <sz val="9"/>
    </font>
    <font>
      <name val="Arial"/>
      <i val="1"/>
      <color rgb="00595959"/>
      <sz val="8"/>
    </font>
    <font>
      <name val="Arial"/>
      <color rgb="000000FF"/>
      <sz val="9"/>
    </font>
    <font>
      <name val="Arial"/>
      <i val="1"/>
      <sz val="8"/>
    </font>
    <font>
      <name val="Arial"/>
      <b val="1"/>
      <color rgb="00C27803"/>
      <sz val="9"/>
    </font>
    <font>
      <name val="Arial"/>
      <b val="1"/>
      <color rgb="00595959"/>
      <sz val="9"/>
    </font>
    <font>
      <name val="Arial"/>
      <b val="1"/>
      <color rgb="008B6914"/>
      <sz val="9"/>
    </font>
    <font>
      <name val="Arial"/>
      <color rgb="001A6FA8"/>
      <sz val="9"/>
    </font>
    <font>
      <name val="Arial"/>
      <b val="1"/>
      <color rgb="001A56DB"/>
      <sz val="9"/>
    </font>
    <font>
      <name val="Arial"/>
      <color rgb="00A05C00"/>
      <sz val="9"/>
    </font>
    <font>
      <name val="Arial"/>
      <b val="1"/>
      <color rgb="00C0392B"/>
      <sz val="9"/>
    </font>
    <font>
      <name val="Arial"/>
      <b val="1"/>
      <color rgb="00A05C00"/>
      <sz val="9"/>
    </font>
    <font>
      <name val="Arial"/>
      <b val="1"/>
      <color rgb="007B2FBE"/>
      <sz val="9"/>
    </font>
    <font>
      <name val="Arial"/>
      <b val="1"/>
      <color rgb="001A7A4A"/>
      <sz val="9"/>
    </font>
    <font>
      <name val="Arial"/>
      <b val="1"/>
      <color rgb="00006064"/>
      <sz val="9"/>
    </font>
    <font>
      <name val="Arial"/>
      <color rgb="00E65100"/>
      <sz val="9"/>
    </font>
    <font>
      <name val="Arial"/>
      <color rgb="008B1A6B"/>
      <sz val="9"/>
    </font>
    <font>
      <name val="Arial"/>
      <color rgb="006A1B9A"/>
      <sz val="9"/>
    </font>
  </fonts>
  <fills count="40">
    <fill>
      <patternFill/>
    </fill>
    <fill>
      <patternFill patternType="gray125"/>
    </fill>
    <fill>
      <patternFill patternType="solid">
        <fgColor rgb="FF1B2A4A"/>
        <bgColor rgb="FF003366"/>
      </patternFill>
    </fill>
    <fill>
      <patternFill patternType="solid">
        <fgColor rgb="FF0A7E8C"/>
        <bgColor rgb="FF1A6FA8"/>
      </patternFill>
    </fill>
    <fill>
      <patternFill patternType="solid">
        <fgColor rgb="FF2E6B8A"/>
        <bgColor rgb="FF1A6FA8"/>
      </patternFill>
    </fill>
    <fill>
      <patternFill patternType="solid">
        <fgColor rgb="FF1A5C3A"/>
        <bgColor rgb="FF1A7A4A"/>
      </patternFill>
    </fill>
    <fill>
      <patternFill patternType="solid">
        <fgColor rgb="FF6B3A7D"/>
        <bgColor rgb="FF7B2FBE"/>
      </patternFill>
    </fill>
    <fill>
      <patternFill patternType="solid">
        <fgColor rgb="FF595959"/>
        <bgColor rgb="FF6B3A7D"/>
      </patternFill>
    </fill>
    <fill>
      <patternFill patternType="solid">
        <fgColor rgb="FFF5F5F5"/>
        <bgColor rgb="FFF0FBF0"/>
      </patternFill>
    </fill>
    <fill>
      <patternFill patternType="solid">
        <fgColor rgb="FFFDE8E8"/>
        <bgColor rgb="FFFDECEA"/>
      </patternFill>
    </fill>
    <fill>
      <patternFill patternType="solid">
        <fgColor rgb="FFF0FBF0"/>
        <bgColor rgb="FFF5F5F5"/>
      </patternFill>
    </fill>
    <fill>
      <patternFill patternType="solid">
        <fgColor rgb="FFE8F0FE"/>
        <bgColor rgb="FFEAF4FB"/>
      </patternFill>
    </fill>
    <fill>
      <patternFill patternType="solid">
        <fgColor rgb="FFFFFFFF"/>
        <bgColor rgb="FFF5F5F5"/>
      </patternFill>
    </fill>
    <fill>
      <patternFill patternType="solid">
        <fgColor rgb="FFFDE8F5"/>
        <bgColor rgb="FFFDE8E8"/>
      </patternFill>
    </fill>
    <fill>
      <patternFill patternType="solid">
        <fgColor rgb="FFFEF3E2"/>
        <bgColor rgb="FFFDF6E3"/>
      </patternFill>
    </fill>
    <fill>
      <patternFill patternType="solid">
        <fgColor rgb="FFEAF4FB"/>
        <bgColor rgb="FFE6F4F6"/>
      </patternFill>
    </fill>
    <fill>
      <patternFill patternType="solid">
        <fgColor rgb="FFE8F5EE"/>
        <bgColor rgb="FFE6F4F6"/>
      </patternFill>
    </fill>
    <fill>
      <patternFill patternType="solid">
        <fgColor rgb="FFF5E8FD"/>
        <bgColor rgb="FFF3E8FD"/>
      </patternFill>
    </fill>
    <fill>
      <patternFill patternType="solid">
        <fgColor rgb="FFF3E8FD"/>
        <bgColor rgb="FFF5E8FD"/>
      </patternFill>
    </fill>
    <fill>
      <patternFill patternType="solid">
        <fgColor rgb="FFE6F4F6"/>
        <bgColor rgb="FFEAF4FB"/>
      </patternFill>
    </fill>
    <fill>
      <patternFill patternType="solid">
        <fgColor rgb="FFC9A84C"/>
        <bgColor rgb="FFAAAAAA"/>
      </patternFill>
    </fill>
    <fill>
      <patternFill patternType="solid">
        <fgColor rgb="FFA07820"/>
        <bgColor rgb="FFC27803"/>
      </patternFill>
    </fill>
    <fill>
      <patternFill patternType="solid">
        <fgColor rgb="FFFDF6E3"/>
        <bgColor rgb="FFFEF3E2"/>
      </patternFill>
    </fill>
    <fill>
      <patternFill patternType="solid">
        <fgColor rgb="FFC0392B"/>
        <bgColor rgb="FFA05C00"/>
      </patternFill>
    </fill>
    <fill>
      <patternFill patternType="solid">
        <fgColor rgb="FFC27803"/>
        <bgColor rgb="FFA07820"/>
      </patternFill>
    </fill>
    <fill>
      <patternFill patternType="solid">
        <fgColor rgb="FF1A7A4A"/>
        <bgColor rgb="FF1A5C3A"/>
      </patternFill>
    </fill>
    <fill>
      <patternFill patternType="solid">
        <fgColor rgb="00F5F5F5"/>
      </patternFill>
    </fill>
    <fill>
      <patternFill patternType="solid">
        <fgColor rgb="00FFFFFF"/>
      </patternFill>
    </fill>
    <fill>
      <patternFill patternType="solid">
        <fgColor rgb="00E8F5EE"/>
      </patternFill>
    </fill>
    <fill>
      <patternFill patternType="solid">
        <fgColor rgb="00FEF3E2"/>
      </patternFill>
    </fill>
    <fill>
      <patternFill patternType="solid">
        <fgColor rgb="00FFF8E0"/>
      </patternFill>
    </fill>
    <fill>
      <patternFill patternType="solid">
        <fgColor rgb="00EAF4FB"/>
      </patternFill>
    </fill>
    <fill>
      <patternFill patternType="solid">
        <fgColor rgb="00E8F0FE"/>
      </patternFill>
    </fill>
    <fill>
      <patternFill patternType="solid">
        <fgColor rgb="00FDE8E8"/>
      </patternFill>
    </fill>
    <fill>
      <patternFill patternType="solid">
        <fgColor rgb="00F0FBF0"/>
      </patternFill>
    </fill>
    <fill>
      <patternFill patternType="solid">
        <fgColor rgb="00F3E8FD"/>
      </patternFill>
    </fill>
    <fill>
      <patternFill patternType="solid">
        <fgColor rgb="00E0F7FA"/>
      </patternFill>
    </fill>
    <fill>
      <patternFill patternType="solid">
        <fgColor rgb="00FFF3E0"/>
      </patternFill>
    </fill>
    <fill>
      <patternFill patternType="solid">
        <fgColor rgb="00FDE8F5"/>
      </patternFill>
    </fill>
    <fill>
      <patternFill patternType="solid">
        <fgColor rgb="00F5E8FD"/>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00CCCCCC"/>
      </left>
      <right style="thin">
        <color rgb="00CCCCCC"/>
      </right>
      <top style="thin">
        <color rgb="00CCCCCC"/>
      </top>
      <bottom style="thin">
        <color rgb="00CCCCCC"/>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83">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2" borderId="0" applyAlignment="1" pivotButton="0" quotePrefix="0" xfId="0">
      <alignment horizontal="general" vertical="bottom"/>
    </xf>
    <xf numFmtId="0" fontId="4" fillId="2" borderId="0" applyAlignment="1" pivotButton="0" quotePrefix="0" xfId="0">
      <alignment horizontal="left" vertical="center" indent="2"/>
    </xf>
    <xf numFmtId="0" fontId="5" fillId="2" borderId="0" applyAlignment="1" pivotButton="0" quotePrefix="0" xfId="0">
      <alignment horizontal="left" vertical="center" indent="2"/>
    </xf>
    <xf numFmtId="0" fontId="6" fillId="2" borderId="0" applyAlignment="1" pivotButton="0" quotePrefix="0" xfId="0">
      <alignment horizontal="left" vertical="center" indent="2"/>
    </xf>
    <xf numFmtId="0" fontId="7"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7" fillId="4" borderId="1" applyAlignment="1" pivotButton="0" quotePrefix="0" xfId="0">
      <alignment horizontal="center" vertical="center" wrapText="1"/>
    </xf>
    <xf numFmtId="0" fontId="7" fillId="5"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7" borderId="1" applyAlignment="1" pivotButton="0" quotePrefix="0" xfId="0">
      <alignment horizontal="center" vertical="center" wrapText="1"/>
    </xf>
    <xf numFmtId="0" fontId="8" fillId="8" borderId="1" applyAlignment="1" pivotButton="0" quotePrefix="0" xfId="0">
      <alignment horizontal="center" vertical="center" wrapText="1"/>
    </xf>
    <xf numFmtId="0" fontId="9" fillId="8" borderId="1" applyAlignment="1" pivotButton="0" quotePrefix="0" xfId="0">
      <alignment horizontal="left" vertical="center" wrapText="1" indent="1"/>
    </xf>
    <xf numFmtId="0" fontId="9" fillId="8" borderId="1" applyAlignment="1" pivotButton="0" quotePrefix="0" xfId="0">
      <alignment horizontal="center" vertical="center" wrapText="1"/>
    </xf>
    <xf numFmtId="0" fontId="10" fillId="9" borderId="1" applyAlignment="1" pivotButton="0" quotePrefix="0" xfId="0">
      <alignment horizontal="center" vertical="center" wrapText="1"/>
    </xf>
    <xf numFmtId="0" fontId="11" fillId="10" borderId="1" applyAlignment="1" pivotButton="0" quotePrefix="0" xfId="0">
      <alignment horizontal="center" vertical="center" wrapText="1"/>
    </xf>
    <xf numFmtId="0" fontId="12" fillId="11" borderId="1" applyAlignment="1" pivotButton="0" quotePrefix="0" xfId="0">
      <alignment horizontal="center" vertical="center" wrapText="1"/>
    </xf>
    <xf numFmtId="3" fontId="9" fillId="8" borderId="1" applyAlignment="1" pivotButton="0" quotePrefix="0" xfId="0">
      <alignment horizontal="center" vertical="center" wrapText="1"/>
    </xf>
    <xf numFmtId="3" fontId="13" fillId="8" borderId="1" applyAlignment="1" pivotButton="0" quotePrefix="0" xfId="0">
      <alignment horizontal="center" vertical="center" wrapText="1"/>
    </xf>
    <xf numFmtId="164" fontId="9" fillId="8" borderId="1" applyAlignment="1" pivotButton="0" quotePrefix="0" xfId="0">
      <alignment horizontal="center" vertical="center"/>
    </xf>
    <xf numFmtId="0" fontId="14" fillId="8" borderId="1" applyAlignment="1" pivotButton="0" quotePrefix="0" xfId="0">
      <alignment horizontal="center" vertical="center"/>
    </xf>
    <xf numFmtId="3" fontId="9" fillId="8" borderId="1" applyAlignment="1" pivotButton="0" quotePrefix="0" xfId="0">
      <alignment horizontal="center" vertical="center"/>
    </xf>
    <xf numFmtId="4" fontId="9" fillId="8" borderId="1" applyAlignment="1" pivotButton="0" quotePrefix="0" xfId="0">
      <alignment horizontal="center" vertical="center" wrapText="1"/>
    </xf>
    <xf numFmtId="0" fontId="15" fillId="8" borderId="1" applyAlignment="1" pivotButton="0" quotePrefix="0" xfId="0">
      <alignment horizontal="left" vertical="center" wrapText="1" indent="1"/>
    </xf>
    <xf numFmtId="0" fontId="8" fillId="12" borderId="1" applyAlignment="1" pivotButton="0" quotePrefix="0" xfId="0">
      <alignment horizontal="center" vertical="center" wrapText="1"/>
    </xf>
    <xf numFmtId="0" fontId="9" fillId="12" borderId="1" applyAlignment="1" pivotButton="0" quotePrefix="0" xfId="0">
      <alignment horizontal="left" vertical="center" wrapText="1" indent="1"/>
    </xf>
    <xf numFmtId="0" fontId="9" fillId="12" borderId="1" applyAlignment="1" pivotButton="0" quotePrefix="0" xfId="0">
      <alignment horizontal="center" vertical="center" wrapText="1"/>
    </xf>
    <xf numFmtId="0" fontId="16" fillId="13" borderId="1" applyAlignment="1" pivotButton="0" quotePrefix="0" xfId="0">
      <alignment horizontal="center" vertical="center" wrapText="1"/>
    </xf>
    <xf numFmtId="0" fontId="17" fillId="14" borderId="1" applyAlignment="1" pivotButton="0" quotePrefix="0" xfId="0">
      <alignment horizontal="center" vertical="center" wrapText="1"/>
    </xf>
    <xf numFmtId="3" fontId="9" fillId="12" borderId="1" applyAlignment="1" pivotButton="0" quotePrefix="0" xfId="0">
      <alignment horizontal="center" vertical="center" wrapText="1"/>
    </xf>
    <xf numFmtId="3" fontId="13" fillId="12" borderId="1" applyAlignment="1" pivotButton="0" quotePrefix="0" xfId="0">
      <alignment horizontal="center" vertical="center" wrapText="1"/>
    </xf>
    <xf numFmtId="164" fontId="9" fillId="12" borderId="1" applyAlignment="1" pivotButton="0" quotePrefix="0" xfId="0">
      <alignment horizontal="center" vertical="center"/>
    </xf>
    <xf numFmtId="0" fontId="14" fillId="12" borderId="1" applyAlignment="1" pivotButton="0" quotePrefix="0" xfId="0">
      <alignment horizontal="center" vertical="center"/>
    </xf>
    <xf numFmtId="3" fontId="9" fillId="12" borderId="1" applyAlignment="1" pivotButton="0" quotePrefix="0" xfId="0">
      <alignment horizontal="center" vertical="center"/>
    </xf>
    <xf numFmtId="4" fontId="9" fillId="12" borderId="1" applyAlignment="1" pivotButton="0" quotePrefix="0" xfId="0">
      <alignment horizontal="center" vertical="center" wrapText="1"/>
    </xf>
    <xf numFmtId="0" fontId="15" fillId="12" borderId="1" applyAlignment="1" pivotButton="0" quotePrefix="0" xfId="0">
      <alignment horizontal="left" vertical="center" wrapText="1" indent="1"/>
    </xf>
    <xf numFmtId="0" fontId="18" fillId="15" borderId="1" applyAlignment="1" pivotButton="0" quotePrefix="0" xfId="0">
      <alignment horizontal="center" vertical="center" wrapText="1"/>
    </xf>
    <xf numFmtId="0" fontId="19" fillId="14" borderId="1" applyAlignment="1" pivotButton="0" quotePrefix="0" xfId="0">
      <alignment horizontal="center" vertical="center" wrapText="1"/>
    </xf>
    <xf numFmtId="0" fontId="20" fillId="16" borderId="1" applyAlignment="1" pivotButton="0" quotePrefix="0" xfId="0">
      <alignment horizontal="center" vertical="center" wrapText="1"/>
    </xf>
    <xf numFmtId="0" fontId="21" fillId="17" borderId="1" applyAlignment="1" pivotButton="0" quotePrefix="0" xfId="0">
      <alignment horizontal="center" vertical="center" wrapText="1"/>
    </xf>
    <xf numFmtId="0" fontId="22" fillId="14" borderId="1" applyAlignment="1" pivotButton="0" quotePrefix="0" xfId="0">
      <alignment horizontal="center" vertical="center" wrapText="1"/>
    </xf>
    <xf numFmtId="3" fontId="23" fillId="12" borderId="1" applyAlignment="1" pivotButton="0" quotePrefix="0" xfId="0">
      <alignment horizontal="center" vertical="center" wrapText="1"/>
    </xf>
    <xf numFmtId="0" fontId="24" fillId="8" borderId="1" applyAlignment="1" pivotButton="0" quotePrefix="0" xfId="0">
      <alignment horizontal="center" vertical="center" wrapText="1"/>
    </xf>
    <xf numFmtId="0" fontId="25" fillId="18" borderId="1" applyAlignment="1" pivotButton="0" quotePrefix="0" xfId="0">
      <alignment horizontal="center" vertical="center" wrapText="1"/>
    </xf>
    <xf numFmtId="3" fontId="23" fillId="8" borderId="1" applyAlignment="1" pivotButton="0" quotePrefix="0" xfId="0">
      <alignment horizontal="center" vertical="center" wrapText="1"/>
    </xf>
    <xf numFmtId="0" fontId="26" fillId="3" borderId="0" applyAlignment="1" pivotButton="0" quotePrefix="0" xfId="0">
      <alignment horizontal="left" vertical="center" indent="2"/>
    </xf>
    <xf numFmtId="0" fontId="27" fillId="3" borderId="0" applyAlignment="1" pivotButton="0" quotePrefix="0" xfId="0">
      <alignment horizontal="left" vertical="center" indent="2"/>
    </xf>
    <xf numFmtId="0" fontId="0" fillId="3" borderId="0" applyAlignment="1" pivotButton="0" quotePrefix="0" xfId="0">
      <alignment horizontal="general" vertical="bottom"/>
    </xf>
    <xf numFmtId="0" fontId="28" fillId="12" borderId="1" applyAlignment="1" pivotButton="0" quotePrefix="0" xfId="0">
      <alignment horizontal="center" vertical="center" wrapText="1"/>
    </xf>
    <xf numFmtId="0" fontId="28" fillId="12" borderId="1" applyAlignment="1" pivotButton="0" quotePrefix="0" xfId="0">
      <alignment horizontal="left" vertical="center" wrapText="1" indent="1"/>
    </xf>
    <xf numFmtId="0" fontId="28" fillId="19" borderId="1" applyAlignment="1" pivotButton="0" quotePrefix="0" xfId="0">
      <alignment horizontal="center" vertical="center" wrapText="1"/>
    </xf>
    <xf numFmtId="0" fontId="28" fillId="19" borderId="1" applyAlignment="1" pivotButton="0" quotePrefix="0" xfId="0">
      <alignment horizontal="left" vertical="center" wrapText="1" indent="1"/>
    </xf>
    <xf numFmtId="0" fontId="26" fillId="5" borderId="0" applyAlignment="1" pivotButton="0" quotePrefix="0" xfId="0">
      <alignment horizontal="left" vertical="center" indent="2"/>
    </xf>
    <xf numFmtId="0" fontId="27" fillId="5" borderId="0" applyAlignment="1" pivotButton="0" quotePrefix="0" xfId="0">
      <alignment horizontal="left" vertical="center" indent="2"/>
    </xf>
    <xf numFmtId="0" fontId="0" fillId="5" borderId="0" applyAlignment="1" pivotButton="0" quotePrefix="0" xfId="0">
      <alignment horizontal="general" vertical="bottom"/>
    </xf>
    <xf numFmtId="0" fontId="29" fillId="12" borderId="1" applyAlignment="1" pivotButton="0" quotePrefix="0" xfId="0">
      <alignment horizontal="center" vertical="center"/>
    </xf>
    <xf numFmtId="0" fontId="28" fillId="12" borderId="1" applyAlignment="1" pivotButton="0" quotePrefix="0" xfId="0">
      <alignment horizontal="left" vertical="center" indent="1"/>
    </xf>
    <xf numFmtId="0" fontId="28" fillId="12" borderId="1" applyAlignment="1" pivotButton="0" quotePrefix="0" xfId="0">
      <alignment horizontal="center" vertical="center"/>
    </xf>
    <xf numFmtId="3" fontId="28" fillId="12" borderId="1" applyAlignment="1" pivotButton="0" quotePrefix="0" xfId="0">
      <alignment horizontal="center" vertical="center"/>
    </xf>
    <xf numFmtId="4" fontId="28" fillId="12" borderId="1" applyAlignment="1" pivotButton="0" quotePrefix="0" xfId="0">
      <alignment horizontal="center" vertical="center"/>
    </xf>
    <xf numFmtId="164" fontId="28" fillId="12" borderId="1" applyAlignment="1" pivotButton="0" quotePrefix="0" xfId="0">
      <alignment horizontal="center" vertical="center"/>
    </xf>
    <xf numFmtId="0" fontId="29" fillId="16" borderId="1" applyAlignment="1" pivotButton="0" quotePrefix="0" xfId="0">
      <alignment horizontal="center" vertical="center"/>
    </xf>
    <xf numFmtId="0" fontId="28" fillId="16" borderId="1" applyAlignment="1" pivotButton="0" quotePrefix="0" xfId="0">
      <alignment horizontal="left" vertical="center" indent="1"/>
    </xf>
    <xf numFmtId="0" fontId="28" fillId="16" borderId="1" applyAlignment="1" pivotButton="0" quotePrefix="0" xfId="0">
      <alignment horizontal="center" vertical="center"/>
    </xf>
    <xf numFmtId="3" fontId="28" fillId="16" borderId="1" applyAlignment="1" pivotButton="0" quotePrefix="0" xfId="0">
      <alignment horizontal="center" vertical="center"/>
    </xf>
    <xf numFmtId="4" fontId="28" fillId="16" borderId="1" applyAlignment="1" pivotButton="0" quotePrefix="0" xfId="0">
      <alignment horizontal="center" vertical="center"/>
    </xf>
    <xf numFmtId="164" fontId="28" fillId="16" borderId="1" applyAlignment="1" pivotButton="0" quotePrefix="0" xfId="0">
      <alignment horizontal="center" vertical="center"/>
    </xf>
    <xf numFmtId="0" fontId="26" fillId="20" borderId="0" applyAlignment="1" pivotButton="0" quotePrefix="0" xfId="0">
      <alignment horizontal="left" vertical="center" indent="2"/>
    </xf>
    <xf numFmtId="0" fontId="27" fillId="20" borderId="0" applyAlignment="1" pivotButton="0" quotePrefix="0" xfId="0">
      <alignment horizontal="left" vertical="center" indent="2"/>
    </xf>
    <xf numFmtId="0" fontId="0" fillId="20" borderId="0" applyAlignment="1" pivotButton="0" quotePrefix="0" xfId="0">
      <alignment horizontal="general" vertical="bottom"/>
    </xf>
    <xf numFmtId="0" fontId="7" fillId="21" borderId="1" applyAlignment="1" pivotButton="0" quotePrefix="0" xfId="0">
      <alignment horizontal="center" vertical="center" wrapText="1"/>
    </xf>
    <xf numFmtId="0" fontId="29" fillId="12" borderId="1" applyAlignment="1" pivotButton="0" quotePrefix="0" xfId="0">
      <alignment horizontal="center" vertical="center" wrapText="1"/>
    </xf>
    <xf numFmtId="3" fontId="28" fillId="12" borderId="1" applyAlignment="1" pivotButton="0" quotePrefix="0" xfId="0">
      <alignment horizontal="center" vertical="center" wrapText="1"/>
    </xf>
    <xf numFmtId="0" fontId="29" fillId="22" borderId="1" applyAlignment="1" pivotButton="0" quotePrefix="0" xfId="0">
      <alignment horizontal="center" vertical="center" wrapText="1"/>
    </xf>
    <xf numFmtId="0" fontId="28" fillId="22" borderId="1" applyAlignment="1" pivotButton="0" quotePrefix="0" xfId="0">
      <alignment horizontal="left" vertical="center" wrapText="1" indent="1"/>
    </xf>
    <xf numFmtId="0" fontId="28" fillId="22" borderId="1" applyAlignment="1" pivotButton="0" quotePrefix="0" xfId="0">
      <alignment horizontal="center" vertical="center" wrapText="1"/>
    </xf>
    <xf numFmtId="3" fontId="28" fillId="22" borderId="1" applyAlignment="1" pivotButton="0" quotePrefix="0" xfId="0">
      <alignment horizontal="center" vertical="center" wrapText="1"/>
    </xf>
    <xf numFmtId="0" fontId="26" fillId="2" borderId="0" applyAlignment="1" pivotButton="0" quotePrefix="0" xfId="0">
      <alignment horizontal="left" vertical="center" indent="2"/>
    </xf>
    <xf numFmtId="0" fontId="30" fillId="2" borderId="0" applyAlignment="1" pivotButton="0" quotePrefix="0" xfId="0">
      <alignment horizontal="left" vertical="center" indent="1"/>
    </xf>
    <xf numFmtId="0" fontId="14" fillId="8" borderId="0" applyAlignment="1" pivotButton="0" quotePrefix="0" xfId="0">
      <alignment horizontal="left" vertical="center" wrapText="1" indent="1"/>
    </xf>
    <xf numFmtId="0" fontId="30" fillId="3" borderId="0" applyAlignment="1" pivotButton="0" quotePrefix="0" xfId="0">
      <alignment horizontal="left" vertical="center" indent="1"/>
    </xf>
    <xf numFmtId="0" fontId="9" fillId="8" borderId="0" applyAlignment="1" pivotButton="0" quotePrefix="0" xfId="0">
      <alignment horizontal="left" vertical="center" wrapText="1" indent="1"/>
    </xf>
    <xf numFmtId="0" fontId="30" fillId="5" borderId="0" applyAlignment="1" pivotButton="0" quotePrefix="0" xfId="0">
      <alignment horizontal="left" vertical="center" indent="1"/>
    </xf>
    <xf numFmtId="0" fontId="30" fillId="4" borderId="0" applyAlignment="1" pivotButton="0" quotePrefix="0" xfId="0">
      <alignment horizontal="left" vertical="center" indent="1"/>
    </xf>
    <xf numFmtId="0" fontId="30" fillId="23" borderId="0" applyAlignment="1" pivotButton="0" quotePrefix="0" xfId="0">
      <alignment horizontal="left" vertical="center" indent="1"/>
    </xf>
    <xf numFmtId="0" fontId="30" fillId="24" borderId="0" applyAlignment="1" pivotButton="0" quotePrefix="0" xfId="0">
      <alignment horizontal="left" vertical="center" indent="1"/>
    </xf>
    <xf numFmtId="0" fontId="30" fillId="25" borderId="0" applyAlignment="1" pivotButton="0" quotePrefix="0" xfId="0">
      <alignment horizontal="left" vertical="center" indent="1"/>
    </xf>
    <xf numFmtId="0" fontId="0" fillId="0" borderId="0" applyAlignment="1" pivotButton="0" quotePrefix="0" xfId="0">
      <alignment horizontal="general" vertical="bottom"/>
    </xf>
    <xf numFmtId="0" fontId="0" fillId="0" borderId="0" pivotButton="0" quotePrefix="0" xfId="0"/>
    <xf numFmtId="0" fontId="0" fillId="2" borderId="0" applyAlignment="1" pivotButton="0" quotePrefix="0" xfId="0">
      <alignment horizontal="general" vertical="bottom"/>
    </xf>
    <xf numFmtId="0" fontId="4" fillId="2" borderId="0" applyAlignment="1" pivotButton="0" quotePrefix="0" xfId="0">
      <alignment horizontal="left" vertical="center" indent="2"/>
    </xf>
    <xf numFmtId="0" fontId="5" fillId="2" borderId="0" applyAlignment="1" pivotButton="0" quotePrefix="0" xfId="0">
      <alignment horizontal="left" vertical="center" indent="2"/>
    </xf>
    <xf numFmtId="0" fontId="6" fillId="2" borderId="0" applyAlignment="1" pivotButton="0" quotePrefix="0" xfId="0">
      <alignment horizontal="left" vertical="center" indent="2"/>
    </xf>
    <xf numFmtId="0" fontId="7"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7" fillId="4" borderId="1" applyAlignment="1" pivotButton="0" quotePrefix="0" xfId="0">
      <alignment horizontal="center" vertical="center" wrapText="1"/>
    </xf>
    <xf numFmtId="0" fontId="7" fillId="5"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7" borderId="1" applyAlignment="1" pivotButton="0" quotePrefix="0" xfId="0">
      <alignment horizontal="center" vertical="center" wrapText="1"/>
    </xf>
    <xf numFmtId="0" fontId="31" fillId="26" borderId="2" applyAlignment="1" pivotButton="0" quotePrefix="0" xfId="0">
      <alignment horizontal="center" vertical="center" wrapText="1"/>
    </xf>
    <xf numFmtId="0" fontId="32" fillId="26" borderId="2" applyAlignment="1" pivotButton="0" quotePrefix="0" xfId="0">
      <alignment horizontal="left" vertical="center" wrapText="1" indent="1"/>
    </xf>
    <xf numFmtId="0" fontId="32" fillId="26" borderId="2" applyAlignment="1" pivotButton="0" quotePrefix="0" xfId="0">
      <alignment horizontal="center" vertical="center" wrapText="1"/>
    </xf>
    <xf numFmtId="0" fontId="33" fillId="26" borderId="2" applyAlignment="1" pivotButton="0" quotePrefix="0" xfId="0">
      <alignment horizontal="center" vertical="center" wrapText="1"/>
    </xf>
    <xf numFmtId="3" fontId="32" fillId="26" borderId="2" applyAlignment="1" pivotButton="0" quotePrefix="0" xfId="0">
      <alignment horizontal="center" vertical="center" wrapText="1"/>
    </xf>
    <xf numFmtId="3" fontId="34" fillId="26" borderId="2" applyAlignment="1" pivotButton="0" quotePrefix="0" xfId="0">
      <alignment horizontal="center" vertical="center" wrapText="1"/>
    </xf>
    <xf numFmtId="164" fontId="32" fillId="26" borderId="2" applyAlignment="1" pivotButton="0" quotePrefix="0" xfId="0">
      <alignment horizontal="center" vertical="center"/>
    </xf>
    <xf numFmtId="0" fontId="35" fillId="26" borderId="2" applyAlignment="1" pivotButton="0" quotePrefix="0" xfId="0">
      <alignment horizontal="center" vertical="center"/>
    </xf>
    <xf numFmtId="3" fontId="32" fillId="26" borderId="2" applyAlignment="1" pivotButton="0" quotePrefix="0" xfId="0">
      <alignment horizontal="center" vertical="center"/>
    </xf>
    <xf numFmtId="4" fontId="32" fillId="26" borderId="2" applyAlignment="1" pivotButton="0" quotePrefix="0" xfId="0">
      <alignment horizontal="center" vertical="center" wrapText="1"/>
    </xf>
    <xf numFmtId="0" fontId="36" fillId="26" borderId="2" applyAlignment="1" pivotButton="0" quotePrefix="0" xfId="0">
      <alignment horizontal="left" vertical="center" wrapText="1" indent="1"/>
    </xf>
    <xf numFmtId="0" fontId="31" fillId="27" borderId="2" applyAlignment="1" pivotButton="0" quotePrefix="0" xfId="0">
      <alignment horizontal="center" vertical="center" wrapText="1"/>
    </xf>
    <xf numFmtId="0" fontId="32" fillId="27" borderId="2" applyAlignment="1" pivotButton="0" quotePrefix="0" xfId="0">
      <alignment horizontal="left" vertical="center" wrapText="1" indent="1"/>
    </xf>
    <xf numFmtId="0" fontId="32" fillId="27" borderId="2" applyAlignment="1" pivotButton="0" quotePrefix="0" xfId="0">
      <alignment horizontal="center" vertical="center" wrapText="1"/>
    </xf>
    <xf numFmtId="0" fontId="33" fillId="27" borderId="2" applyAlignment="1" pivotButton="0" quotePrefix="0" xfId="0">
      <alignment horizontal="center" vertical="center" wrapText="1"/>
    </xf>
    <xf numFmtId="3" fontId="32" fillId="27" borderId="2" applyAlignment="1" pivotButton="0" quotePrefix="0" xfId="0">
      <alignment horizontal="center" vertical="center" wrapText="1"/>
    </xf>
    <xf numFmtId="3" fontId="34" fillId="27" borderId="2" applyAlignment="1" pivotButton="0" quotePrefix="0" xfId="0">
      <alignment horizontal="center" vertical="center" wrapText="1"/>
    </xf>
    <xf numFmtId="164" fontId="32" fillId="27" borderId="2" applyAlignment="1" pivotButton="0" quotePrefix="0" xfId="0">
      <alignment horizontal="center" vertical="center"/>
    </xf>
    <xf numFmtId="0" fontId="35" fillId="27" borderId="2" applyAlignment="1" pivotButton="0" quotePrefix="0" xfId="0">
      <alignment horizontal="center" vertical="center"/>
    </xf>
    <xf numFmtId="3" fontId="32" fillId="27" borderId="2" applyAlignment="1" pivotButton="0" quotePrefix="0" xfId="0">
      <alignment horizontal="center" vertical="center"/>
    </xf>
    <xf numFmtId="4" fontId="32" fillId="27" borderId="2" applyAlignment="1" pivotButton="0" quotePrefix="0" xfId="0">
      <alignment horizontal="center" vertical="center" wrapText="1"/>
    </xf>
    <xf numFmtId="0" fontId="36" fillId="27" borderId="2" applyAlignment="1" pivotButton="0" quotePrefix="0" xfId="0">
      <alignment horizontal="left" vertical="center" wrapText="1" indent="1"/>
    </xf>
    <xf numFmtId="3" fontId="37" fillId="27" borderId="2" applyAlignment="1" pivotButton="0" quotePrefix="0" xfId="0">
      <alignment horizontal="center" vertical="center" wrapText="1"/>
    </xf>
    <xf numFmtId="3" fontId="37" fillId="26" borderId="2" applyAlignment="1" pivotButton="0" quotePrefix="0" xfId="0">
      <alignment horizontal="center" vertical="center" wrapText="1"/>
    </xf>
    <xf numFmtId="0" fontId="26" fillId="3" borderId="0" applyAlignment="1" pivotButton="0" quotePrefix="0" xfId="0">
      <alignment horizontal="left" vertical="center" indent="2"/>
    </xf>
    <xf numFmtId="0" fontId="27" fillId="3" borderId="0" applyAlignment="1" pivotButton="0" quotePrefix="0" xfId="0">
      <alignment horizontal="left" vertical="center" indent="2"/>
    </xf>
    <xf numFmtId="0" fontId="0" fillId="3" borderId="0" applyAlignment="1" pivotButton="0" quotePrefix="0" xfId="0">
      <alignment horizontal="general" vertical="bottom"/>
    </xf>
    <xf numFmtId="0" fontId="28" fillId="12" borderId="1" applyAlignment="1" pivotButton="0" quotePrefix="0" xfId="0">
      <alignment horizontal="center" vertical="center" wrapText="1"/>
    </xf>
    <xf numFmtId="0" fontId="28" fillId="12" borderId="1" applyAlignment="1" pivotButton="0" quotePrefix="0" xfId="0">
      <alignment horizontal="left" vertical="center" wrapText="1" indent="1"/>
    </xf>
    <xf numFmtId="0" fontId="28" fillId="19" borderId="1" applyAlignment="1" pivotButton="0" quotePrefix="0" xfId="0">
      <alignment horizontal="center" vertical="center" wrapText="1"/>
    </xf>
    <xf numFmtId="0" fontId="28" fillId="19" borderId="1" applyAlignment="1" pivotButton="0" quotePrefix="0" xfId="0">
      <alignment horizontal="left" vertical="center" wrapText="1" indent="1"/>
    </xf>
    <xf numFmtId="0" fontId="26" fillId="5" borderId="0" applyAlignment="1" pivotButton="0" quotePrefix="0" xfId="0">
      <alignment horizontal="left" vertical="center" indent="2"/>
    </xf>
    <xf numFmtId="0" fontId="27" fillId="5" borderId="0" applyAlignment="1" pivotButton="0" quotePrefix="0" xfId="0">
      <alignment horizontal="left" vertical="center" indent="2"/>
    </xf>
    <xf numFmtId="0" fontId="0" fillId="5" borderId="0" applyAlignment="1" pivotButton="0" quotePrefix="0" xfId="0">
      <alignment horizontal="general" vertical="bottom"/>
    </xf>
    <xf numFmtId="0" fontId="32" fillId="27" borderId="2" applyAlignment="1" pivotButton="0" quotePrefix="0" xfId="0">
      <alignment horizontal="left" vertical="center" indent="1"/>
    </xf>
    <xf numFmtId="0" fontId="32" fillId="27" borderId="2" applyAlignment="1" pivotButton="0" quotePrefix="0" xfId="0">
      <alignment horizontal="center" vertical="center"/>
    </xf>
    <xf numFmtId="4" fontId="32" fillId="27" borderId="2" applyAlignment="1" pivotButton="0" quotePrefix="0" xfId="0">
      <alignment horizontal="center" vertical="center"/>
    </xf>
    <xf numFmtId="0" fontId="38" fillId="27" borderId="2" applyAlignment="1" pivotButton="0" quotePrefix="0" xfId="0">
      <alignment horizontal="left" vertical="center" indent="1"/>
    </xf>
    <xf numFmtId="0" fontId="35" fillId="28" borderId="2" applyAlignment="1" pivotButton="0" quotePrefix="0" xfId="0">
      <alignment horizontal="center" vertical="center"/>
    </xf>
    <xf numFmtId="0" fontId="32" fillId="28" borderId="2" applyAlignment="1" pivotButton="0" quotePrefix="0" xfId="0">
      <alignment horizontal="left" vertical="center" indent="1"/>
    </xf>
    <xf numFmtId="0" fontId="32" fillId="28" borderId="2" applyAlignment="1" pivotButton="0" quotePrefix="0" xfId="0">
      <alignment horizontal="center" vertical="center"/>
    </xf>
    <xf numFmtId="3" fontId="32" fillId="28" borderId="2" applyAlignment="1" pivotButton="0" quotePrefix="0" xfId="0">
      <alignment horizontal="center" vertical="center"/>
    </xf>
    <xf numFmtId="4" fontId="32" fillId="28" borderId="2" applyAlignment="1" pivotButton="0" quotePrefix="0" xfId="0">
      <alignment horizontal="center" vertical="center"/>
    </xf>
    <xf numFmtId="164" fontId="32" fillId="28" borderId="2" applyAlignment="1" pivotButton="0" quotePrefix="0" xfId="0">
      <alignment horizontal="center" vertical="center"/>
    </xf>
    <xf numFmtId="0" fontId="38" fillId="28" borderId="2" applyAlignment="1" pivotButton="0" quotePrefix="0" xfId="0">
      <alignment horizontal="left" vertical="center" indent="1"/>
    </xf>
    <xf numFmtId="0" fontId="26" fillId="20" borderId="0" applyAlignment="1" pivotButton="0" quotePrefix="0" xfId="0">
      <alignment horizontal="left" vertical="center" indent="2"/>
    </xf>
    <xf numFmtId="0" fontId="27" fillId="20" borderId="0" applyAlignment="1" pivotButton="0" quotePrefix="0" xfId="0">
      <alignment horizontal="left" vertical="center" indent="2"/>
    </xf>
    <xf numFmtId="0" fontId="0" fillId="20" borderId="0" applyAlignment="1" pivotButton="0" quotePrefix="0" xfId="0">
      <alignment horizontal="general" vertical="bottom"/>
    </xf>
    <xf numFmtId="0" fontId="7" fillId="21" borderId="1" applyAlignment="1" pivotButton="0" quotePrefix="0" xfId="0">
      <alignment horizontal="center" vertical="center" wrapText="1"/>
    </xf>
    <xf numFmtId="0" fontId="29" fillId="12" borderId="1" applyAlignment="1" pivotButton="0" quotePrefix="0" xfId="0">
      <alignment horizontal="center" vertical="center" wrapText="1"/>
    </xf>
    <xf numFmtId="0" fontId="20" fillId="16" borderId="1" applyAlignment="1" pivotButton="0" quotePrefix="0" xfId="0">
      <alignment horizontal="center" vertical="center" wrapText="1"/>
    </xf>
    <xf numFmtId="3" fontId="28" fillId="12" borderId="1" applyAlignment="1" pivotButton="0" quotePrefix="0" xfId="0">
      <alignment horizontal="center" vertical="center" wrapText="1"/>
    </xf>
    <xf numFmtId="0" fontId="29" fillId="22" borderId="1" applyAlignment="1" pivotButton="0" quotePrefix="0" xfId="0">
      <alignment horizontal="center" vertical="center" wrapText="1"/>
    </xf>
    <xf numFmtId="0" fontId="28" fillId="22" borderId="1" applyAlignment="1" pivotButton="0" quotePrefix="0" xfId="0">
      <alignment horizontal="left" vertical="center" wrapText="1" indent="1"/>
    </xf>
    <xf numFmtId="0" fontId="28" fillId="22" borderId="1" applyAlignment="1" pivotButton="0" quotePrefix="0" xfId="0">
      <alignment horizontal="center" vertical="center" wrapText="1"/>
    </xf>
    <xf numFmtId="3" fontId="28" fillId="22" borderId="1" applyAlignment="1" pivotButton="0" quotePrefix="0" xfId="0">
      <alignment horizontal="center" vertical="center" wrapText="1"/>
    </xf>
    <xf numFmtId="0" fontId="17" fillId="14" borderId="1" applyAlignment="1" pivotButton="0" quotePrefix="0" xfId="0">
      <alignment horizontal="center" vertical="center" wrapText="1"/>
    </xf>
    <xf numFmtId="0" fontId="10" fillId="9" borderId="1" applyAlignment="1" pivotButton="0" quotePrefix="0" xfId="0">
      <alignment horizontal="center" vertical="center" wrapText="1"/>
    </xf>
    <xf numFmtId="0" fontId="26" fillId="2" borderId="0" applyAlignment="1" pivotButton="0" quotePrefix="0" xfId="0">
      <alignment horizontal="left" vertical="center" indent="2"/>
    </xf>
    <xf numFmtId="0" fontId="30" fillId="2" borderId="0" applyAlignment="1" pivotButton="0" quotePrefix="0" xfId="0">
      <alignment horizontal="left" vertical="center" indent="1"/>
    </xf>
    <xf numFmtId="0" fontId="14" fillId="8" borderId="0" applyAlignment="1" pivotButton="0" quotePrefix="0" xfId="0">
      <alignment horizontal="left" vertical="center" wrapText="1" indent="1"/>
    </xf>
    <xf numFmtId="0" fontId="30" fillId="3" borderId="0" applyAlignment="1" pivotButton="0" quotePrefix="0" xfId="0">
      <alignment horizontal="left" vertical="center" indent="1"/>
    </xf>
    <xf numFmtId="0" fontId="9" fillId="8" borderId="0" applyAlignment="1" pivotButton="0" quotePrefix="0" xfId="0">
      <alignment horizontal="left" vertical="center" wrapText="1" indent="1"/>
    </xf>
    <xf numFmtId="0" fontId="30" fillId="5" borderId="0" applyAlignment="1" pivotButton="0" quotePrefix="0" xfId="0">
      <alignment horizontal="left" vertical="center" indent="1"/>
    </xf>
    <xf numFmtId="0" fontId="30" fillId="4" borderId="0" applyAlignment="1" pivotButton="0" quotePrefix="0" xfId="0">
      <alignment horizontal="left" vertical="center" indent="1"/>
    </xf>
    <xf numFmtId="0" fontId="30" fillId="23" borderId="0" applyAlignment="1" pivotButton="0" quotePrefix="0" xfId="0">
      <alignment horizontal="left" vertical="center" indent="1"/>
    </xf>
    <xf numFmtId="0" fontId="30" fillId="24" borderId="0" applyAlignment="1" pivotButton="0" quotePrefix="0" xfId="0">
      <alignment horizontal="left" vertical="center" indent="1"/>
    </xf>
    <xf numFmtId="0" fontId="30" fillId="25" borderId="0" applyAlignment="1" pivotButton="0" quotePrefix="0" xfId="0">
      <alignment horizontal="left" vertical="center" indent="1"/>
    </xf>
    <xf numFmtId="0" fontId="39" fillId="29" borderId="2" applyAlignment="1" pivotButton="0" quotePrefix="0" xfId="0">
      <alignment horizontal="center" vertical="center" wrapText="1"/>
    </xf>
    <xf numFmtId="0" fontId="40" fillId="26" borderId="2" applyAlignment="1" pivotButton="0" quotePrefix="0" xfId="0">
      <alignment horizontal="center" vertical="center" wrapText="1"/>
    </xf>
    <xf numFmtId="0" fontId="41" fillId="30" borderId="2" applyAlignment="1" pivotButton="0" quotePrefix="0" xfId="0">
      <alignment horizontal="center" vertical="center" wrapText="1"/>
    </xf>
    <xf numFmtId="0" fontId="42" fillId="31" borderId="2" applyAlignment="1" pivotButton="0" quotePrefix="0" xfId="0">
      <alignment horizontal="center" vertical="center" wrapText="1"/>
    </xf>
    <xf numFmtId="0" fontId="43" fillId="32" borderId="2" applyAlignment="1" pivotButton="0" quotePrefix="0" xfId="0">
      <alignment horizontal="center" vertical="center" wrapText="1"/>
    </xf>
    <xf numFmtId="0" fontId="44" fillId="29" borderId="2" applyAlignment="1" pivotButton="0" quotePrefix="0" xfId="0">
      <alignment horizontal="center" vertical="center" wrapText="1"/>
    </xf>
    <xf numFmtId="0" fontId="45" fillId="33" borderId="2" applyAlignment="1" pivotButton="0" quotePrefix="0" xfId="0">
      <alignment horizontal="center" vertical="center" wrapText="1"/>
    </xf>
    <xf numFmtId="0" fontId="34" fillId="34" borderId="2" applyAlignment="1" pivotButton="0" quotePrefix="0" xfId="0">
      <alignment horizontal="center" vertical="center" wrapText="1"/>
    </xf>
    <xf numFmtId="0" fontId="46" fillId="29" borderId="2" applyAlignment="1" pivotButton="0" quotePrefix="0" xfId="0">
      <alignment horizontal="center" vertical="center" wrapText="1"/>
    </xf>
    <xf numFmtId="0" fontId="47" fillId="35" borderId="2" applyAlignment="1" pivotButton="0" quotePrefix="0" xfId="0">
      <alignment horizontal="center" vertical="center" wrapText="1"/>
    </xf>
    <xf numFmtId="0" fontId="48" fillId="28" borderId="2" applyAlignment="1" pivotButton="0" quotePrefix="0" xfId="0">
      <alignment horizontal="center" vertical="center" wrapText="1"/>
    </xf>
    <xf numFmtId="0" fontId="49" fillId="36" borderId="2" applyAlignment="1" pivotButton="0" quotePrefix="0" xfId="0">
      <alignment horizontal="center" vertical="center" wrapText="1"/>
    </xf>
    <xf numFmtId="0" fontId="50" fillId="37" borderId="2" applyAlignment="1" pivotButton="0" quotePrefix="0" xfId="0">
      <alignment horizontal="center" vertical="center" wrapText="1"/>
    </xf>
    <xf numFmtId="0" fontId="51" fillId="38" borderId="2" applyAlignment="1" pivotButton="0" quotePrefix="0" xfId="0">
      <alignment horizontal="center" vertical="center" wrapText="1"/>
    </xf>
    <xf numFmtId="0" fontId="52" fillId="39" borderId="2" applyAlignment="1" pivotButton="0" quotePrefix="0" xfId="0">
      <alignment horizontal="center"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1">
    <dxf>
      <fill>
        <patternFill patternType="solid">
          <fgColor rgb="FF1B2A4A"/>
          <bgColor rgb="FF000000"/>
        </patternFill>
      </fill>
    </dxf>
    <dxf>
      <fill>
        <patternFill patternType="solid">
          <fgColor rgb="FFFFFFFF"/>
          <bgColor rgb="FF000000"/>
        </patternFill>
      </fill>
    </dxf>
    <dxf>
      <fill>
        <patternFill patternType="solid">
          <fgColor rgb="FF0A7E8C"/>
          <bgColor rgb="FF000000"/>
        </patternFill>
      </fill>
    </dxf>
    <dxf>
      <fill>
        <patternFill patternType="solid">
          <fgColor rgb="FF2E6B8A"/>
          <bgColor rgb="FF000000"/>
        </patternFill>
      </fill>
    </dxf>
    <dxf>
      <fill>
        <patternFill patternType="solid">
          <fgColor rgb="FF1A5C3A"/>
          <bgColor rgb="FF000000"/>
        </patternFill>
      </fill>
    </dxf>
    <dxf>
      <fill>
        <patternFill patternType="solid">
          <fgColor rgb="FF6B3A7D"/>
          <bgColor rgb="FF000000"/>
        </patternFill>
      </fill>
    </dxf>
    <dxf>
      <fill>
        <patternFill patternType="solid">
          <fgColor rgb="FF595959"/>
          <bgColor rgb="FF000000"/>
        </patternFill>
      </fill>
    </dxf>
    <dxf>
      <font>
        <name val="Arial"/>
        <charset val="1"/>
        <family val="0"/>
        <b val="1"/>
        <color rgb="FFC0392B"/>
      </font>
      <fill>
        <patternFill>
          <bgColor rgb="FFFDECEA"/>
        </patternFill>
      </fill>
    </dxf>
    <dxf>
      <font>
        <name val="Arial"/>
        <charset val="1"/>
        <family val="0"/>
        <b val="1"/>
        <color rgb="FFC27803"/>
      </font>
      <fill>
        <patternFill>
          <bgColor rgb="FFFEF3E2"/>
        </patternFill>
      </fill>
    </dxf>
    <dxf>
      <font>
        <name val="Arial"/>
        <charset val="1"/>
        <family val="0"/>
        <b val="1"/>
        <color rgb="FF1A7A4A"/>
      </font>
      <fill>
        <patternFill>
          <bgColor rgb="FFE8F5EE"/>
        </patternFill>
      </fill>
    </dxf>
    <dxf>
      <fill>
        <patternFill patternType="solid">
          <fgColor rgb="FFA07820"/>
          <bgColor rgb="FF000000"/>
        </patternFill>
      </fill>
    </dxf>
  </dxfs>
  <colors>
    <indexedColors>
      <rgbColor rgb="FF000000"/>
      <rgbColor rgb="FFFFFFFF"/>
      <rgbColor rgb="FFFF0000"/>
      <rgbColor rgb="FF00FF00"/>
      <rgbColor rgb="FF0000FF"/>
      <rgbColor rgb="FFFDECEA"/>
      <rgbColor rgb="FFFF00FF"/>
      <rgbColor rgb="FF00FFFF"/>
      <rgbColor rgb="FF800000"/>
      <rgbColor rgb="FF1A5C3A"/>
      <rgbColor rgb="FF000080"/>
      <rgbColor rgb="FFA07820"/>
      <rgbColor rgb="FF6A1B9A"/>
      <rgbColor rgb="FF0A7E8C"/>
      <rgbColor rgb="FFCCCCCC"/>
      <rgbColor rgb="FFA05C00"/>
      <rgbColor rgb="FFE8F0FE"/>
      <rgbColor rgb="FF8B1A6B"/>
      <rgbColor rgb="FFFDF6E3"/>
      <rgbColor rgb="FFE6F4F6"/>
      <rgbColor rgb="FF660066"/>
      <rgbColor rgb="FFFF8080"/>
      <rgbColor rgb="FF1A56DB"/>
      <rgbColor rgb="FFF3E8FD"/>
      <rgbColor rgb="FF000080"/>
      <rgbColor rgb="FFFF00FF"/>
      <rgbColor rgb="FFF5F5F5"/>
      <rgbColor rgb="FF00FFFF"/>
      <rgbColor rgb="FF800080"/>
      <rgbColor rgb="FF800000"/>
      <rgbColor rgb="FF1A7A4A"/>
      <rgbColor rgb="FF0000FF"/>
      <rgbColor rgb="FF00CCFF"/>
      <rgbColor rgb="FFE8F5EE"/>
      <rgbColor rgb="FFF0FBF0"/>
      <rgbColor rgb="FFFEF3E2"/>
      <rgbColor rgb="FFB2DFE5"/>
      <rgbColor rgb="FFFDE8F5"/>
      <rgbColor rgb="FFF5E8FD"/>
      <rgbColor rgb="FFFDE8E8"/>
      <rgbColor rgb="FF1A6FA8"/>
      <rgbColor rgb="FF33CCCC"/>
      <rgbColor rgb="FF99CC00"/>
      <rgbColor rgb="FFEAF4FB"/>
      <rgbColor rgb="FFC9A84C"/>
      <rgbColor rgb="FFC27803"/>
      <rgbColor rgb="FF595959"/>
      <rgbColor rgb="FFAAAAAA"/>
      <rgbColor rgb="FF003366"/>
      <rgbColor rgb="FF2E6B8A"/>
      <rgbColor rgb="FF003300"/>
      <rgbColor rgb="FF333300"/>
      <rgbColor rgb="FFC0392B"/>
      <rgbColor rgb="FF6B3A7D"/>
      <rgbColor rgb="FF7B2FBE"/>
      <rgbColor rgb="FF1B2A4A"/>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tabColor rgb="FF1B2A4A"/>
    <outlinePr summaryBelow="1" summaryRight="1"/>
    <pageSetUpPr fitToPage="0"/>
  </sheetPr>
  <dimension ref="A1:T261"/>
  <sheetViews>
    <sheetView showFormulas="0" showGridLines="0" showRowColHeaders="1" showZeros="1" rightToLeft="0" tabSelected="1"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zeroHeight="0" outlineLevelRow="0" outlineLevelCol="0"/>
  <cols>
    <col width="10" customWidth="1" style="88" min="1" max="1"/>
    <col width="28" customWidth="1" style="88" min="2" max="2"/>
    <col width="9" customWidth="1" style="88" min="3" max="3"/>
    <col width="18" customWidth="1" style="88" min="4" max="4"/>
    <col width="20" customWidth="1" style="88" min="5" max="5"/>
    <col width="16" customWidth="1" style="88" min="6" max="6"/>
    <col width="18" customWidth="1" style="88" min="7" max="7"/>
    <col width="13" customWidth="1" style="88" min="8" max="8"/>
    <col width="14" customWidth="1" style="88" min="9" max="9"/>
    <col width="16" customWidth="1" style="88" min="10" max="10"/>
    <col width="18" customWidth="1" style="88" min="11" max="11"/>
    <col width="12" customWidth="1" style="88" min="12" max="12"/>
    <col width="11" customWidth="1" style="88" min="13" max="13"/>
    <col width="12" customWidth="1" style="88" min="14" max="16"/>
    <col width="11" customWidth="1" style="88" min="17" max="19"/>
    <col width="30" customWidth="1" style="88" min="20" max="20"/>
  </cols>
  <sheetData>
    <row r="1" ht="9.75" customHeight="1" s="89">
      <c r="A1" s="90" t="n"/>
    </row>
    <row r="2" ht="39.75" customHeight="1" s="89">
      <c r="A2" s="91" t="inlineStr">
        <is>
          <t>BIOTECH STOCK SCREENER</t>
        </is>
      </c>
    </row>
    <row r="3" ht="21.75" customHeight="1" s="89">
      <c r="A3" s="92" t="inlineStr">
        <is>
          <t>Investment Research  |  Oncology · Rare Disease · Immunology · CNS · Cardiometabolic  |  All Modalities  |  NASDAQ · NYSE · NYSE American</t>
        </is>
      </c>
    </row>
    <row r="4" ht="18" customHeight="1" s="89">
      <c r="A4" s="93" t="inlineStr">
        <is>
          <t>Last Updated: 15 Mar 2026  |  Pipeline enriched via ClinicalTrials.gov API  |  Sources: SEC EDGAR · yFinance · ClinicalTrials.gov</t>
        </is>
      </c>
    </row>
    <row r="5" ht="6" customHeight="1" s="89">
      <c r="A5" s="90" t="n"/>
    </row>
    <row r="6" ht="43.5" customHeight="1" s="89">
      <c r="A6" s="94" t="inlineStr">
        <is>
          <t>Ticker</t>
        </is>
      </c>
      <c r="B6" s="94" t="inlineStr">
        <is>
          <t>Company Name</t>
        </is>
      </c>
      <c r="C6" s="94" t="inlineStr">
        <is>
          <t>Exchange</t>
        </is>
      </c>
      <c r="D6" s="95" t="inlineStr">
        <is>
          <t>Therapy Area</t>
        </is>
      </c>
      <c r="E6" s="95" t="inlineStr">
        <is>
          <t>Sub-Indication</t>
        </is>
      </c>
      <c r="F6" s="95" t="inlineStr">
        <is>
          <t>Modality</t>
        </is>
      </c>
      <c r="G6" s="95" t="inlineStr">
        <is>
          <t>Lead Asset</t>
        </is>
      </c>
      <c r="H6" s="95" t="inlineStr">
        <is>
          <t>Dev Stage</t>
        </is>
      </c>
      <c r="I6" s="95" t="inlineStr">
        <is>
          <t>Next Catalyst</t>
        </is>
      </c>
      <c r="J6" s="95" t="inlineStr">
        <is>
          <t>Catalyst Type</t>
        </is>
      </c>
      <c r="K6" s="96" t="inlineStr">
        <is>
          <t>Partners / Collab</t>
        </is>
      </c>
      <c r="L6" s="97" t="inlineStr">
        <is>
          <t>Mkt Cap ($M)</t>
        </is>
      </c>
      <c r="M6" s="97" t="inlineStr">
        <is>
          <t>Cash ($M)</t>
        </is>
      </c>
      <c r="N6" s="97" t="inlineStr">
        <is>
          <t>Qtrly Burn ($M)</t>
        </is>
      </c>
      <c r="O6" s="97" t="inlineStr">
        <is>
          <t>Runway (Qtrs)</t>
        </is>
      </c>
      <c r="P6" s="97" t="inlineStr">
        <is>
          <t>Runway Flag</t>
        </is>
      </c>
      <c r="Q6" s="97" t="inlineStr">
        <is>
          <t>EV ($M)</t>
        </is>
      </c>
      <c r="R6" s="98" t="inlineStr">
        <is>
          <t>52W High ($)</t>
        </is>
      </c>
      <c r="S6" s="98" t="inlineStr">
        <is>
          <t>52W Low ($)</t>
        </is>
      </c>
      <c r="T6" s="99" t="inlineStr">
        <is>
          <t>Notes / Thesis</t>
        </is>
      </c>
    </row>
    <row r="7" ht="30" customHeight="1" s="89">
      <c r="A7" s="100" t="inlineStr">
        <is>
          <t>MSFT</t>
        </is>
      </c>
      <c r="B7" s="101" t="inlineStr">
        <is>
          <t>Microsoft Corporation</t>
        </is>
      </c>
      <c r="C7" s="102" t="inlineStr">
        <is>
          <t>NASDAQ</t>
        </is>
      </c>
      <c r="D7" s="168" t="inlineStr">
        <is>
          <t>Cardiometabolic</t>
        </is>
      </c>
      <c r="E7" s="101" t="inlineStr">
        <is>
          <t>Diabetes Mellitus</t>
        </is>
      </c>
      <c r="F7" s="103" t="inlineStr"/>
      <c r="G7" s="101" t="inlineStr"/>
      <c r="H7" s="169" t="inlineStr">
        <is>
          <t>Preclinical</t>
        </is>
      </c>
      <c r="I7" s="102" t="inlineStr">
        <is>
          <t>Mar 2011</t>
        </is>
      </c>
      <c r="J7" s="101" t="inlineStr">
        <is>
          <t>Clinical Update</t>
        </is>
      </c>
      <c r="K7" s="101" t="inlineStr">
        <is>
          <t>Microsoft Corporation; EMC Consulting</t>
        </is>
      </c>
      <c r="L7" s="104" t="n">
        <v>2939877.1</v>
      </c>
      <c r="M7" s="104" t="n">
        <v>89462</v>
      </c>
      <c r="N7" s="105" t="n"/>
      <c r="O7" s="106" t="inlineStr">
        <is>
          <t>CF+</t>
        </is>
      </c>
      <c r="P7" s="107" t="inlineStr">
        <is>
          <t>✅ CF+</t>
        </is>
      </c>
      <c r="Q7" s="108">
        <f>IFERROR(L7-M7,"")</f>
        <v/>
      </c>
      <c r="R7" s="109" t="n">
        <v>555.45</v>
      </c>
      <c r="S7" s="109" t="n">
        <v>344.79</v>
      </c>
      <c r="T7" s="110" t="inlineStr">
        <is>
          <t>Microsoft Corporation develops and supports software, services, devices, and solutions worldwide. The Productivity and Business Processes segment offers Microsoft 365 commercial, enterprise mobility +</t>
        </is>
      </c>
    </row>
    <row r="8" ht="30" customHeight="1" s="89">
      <c r="A8" s="111" t="inlineStr">
        <is>
          <t>GILD</t>
        </is>
      </c>
      <c r="B8" s="112" t="inlineStr">
        <is>
          <t>Gilead Sciences, Inc.</t>
        </is>
      </c>
      <c r="C8" s="113" t="inlineStr">
        <is>
          <t>NASDAQ</t>
        </is>
      </c>
      <c r="D8" s="170" t="inlineStr">
        <is>
          <t>Infectious Disease</t>
        </is>
      </c>
      <c r="E8" s="112" t="inlineStr">
        <is>
          <t>Disseminated Histoplasma Capsulatum Infection</t>
        </is>
      </c>
      <c r="F8" s="171" t="inlineStr">
        <is>
          <t>Small Molecule</t>
        </is>
      </c>
      <c r="G8" s="112" t="inlineStr">
        <is>
          <t>Single high dose of liposomal amphotericin B</t>
        </is>
      </c>
      <c r="H8" s="172" t="inlineStr">
        <is>
          <t>Phase 3</t>
        </is>
      </c>
      <c r="I8" s="113" t="inlineStr">
        <is>
          <t>Aug 2026</t>
        </is>
      </c>
      <c r="J8" s="112" t="inlineStr">
        <is>
          <t>Commercial / Label Expansion</t>
        </is>
      </c>
      <c r="K8" s="112" t="inlineStr">
        <is>
          <t>Gilead Sciences; Financiadora de Estudos e Projetos; Sociedade Gaucha de Infectologia</t>
        </is>
      </c>
      <c r="L8" s="115" t="n">
        <v>179993.6</v>
      </c>
      <c r="M8" s="115" t="n">
        <v>9613</v>
      </c>
      <c r="N8" s="116" t="n"/>
      <c r="O8" s="117" t="inlineStr">
        <is>
          <t>CF+</t>
        </is>
      </c>
      <c r="P8" s="118" t="inlineStr">
        <is>
          <t>✅ CF+</t>
        </is>
      </c>
      <c r="Q8" s="119">
        <f>IFERROR(L8-M8,"")</f>
        <v/>
      </c>
      <c r="R8" s="120" t="n">
        <v>157.29</v>
      </c>
      <c r="S8" s="120" t="n">
        <v>93.37</v>
      </c>
      <c r="T8" s="121" t="inlineStr">
        <is>
          <t xml:space="preserve">Gilead Sciences, Inc., a biopharmaceutical company, discovers, develops, and commercializes medicines in the areas of unmet medical need in the United States, Europe, and internationally. The company </t>
        </is>
      </c>
    </row>
    <row r="9" ht="30" customHeight="1" s="89">
      <c r="A9" s="100" t="inlineStr">
        <is>
          <t>VRTX</t>
        </is>
      </c>
      <c r="B9" s="101" t="inlineStr">
        <is>
          <t>Vertex Pharmaceuticals Incorporated</t>
        </is>
      </c>
      <c r="C9" s="102" t="inlineStr">
        <is>
          <t>NASDAQ</t>
        </is>
      </c>
      <c r="D9" s="168" t="inlineStr">
        <is>
          <t>Cardiometabolic</t>
        </is>
      </c>
      <c r="E9" s="101" t="inlineStr">
        <is>
          <t>Type 1 Diabetes</t>
        </is>
      </c>
      <c r="F9" s="173" t="inlineStr">
        <is>
          <t>Monoclonal Ab (mAb)</t>
        </is>
      </c>
      <c r="G9" s="101" t="inlineStr">
        <is>
          <t>Biological/Vaccine</t>
        </is>
      </c>
      <c r="H9" s="172" t="inlineStr">
        <is>
          <t>Phase 3</t>
        </is>
      </c>
      <c r="I9" s="102" t="inlineStr">
        <is>
          <t>Sep 2026</t>
        </is>
      </c>
      <c r="J9" s="101" t="inlineStr">
        <is>
          <t>Phase 3 Readout</t>
        </is>
      </c>
      <c r="K9" s="101" t="inlineStr"/>
      <c r="L9" s="104" t="n">
        <v>119228.4</v>
      </c>
      <c r="M9" s="104" t="n">
        <v>6608.1</v>
      </c>
      <c r="N9" s="105" t="n"/>
      <c r="O9" s="106" t="inlineStr">
        <is>
          <t>CF+</t>
        </is>
      </c>
      <c r="P9" s="107" t="inlineStr">
        <is>
          <t>✅ CF+</t>
        </is>
      </c>
      <c r="Q9" s="108">
        <f>IFERROR(L9-M9,"")</f>
        <v/>
      </c>
      <c r="R9" s="109" t="n">
        <v>517.2</v>
      </c>
      <c r="S9" s="109" t="n">
        <v>362.5</v>
      </c>
      <c r="T9" s="110" t="inlineStr">
        <is>
          <t xml:space="preserve">Vertex Pharmaceuticals Incorporated operates as a biotechnology company in the United States, Europe, and internationally. The company offers transformative medicines for people with serious diseases </t>
        </is>
      </c>
    </row>
    <row r="10" ht="30" customHeight="1" s="89">
      <c r="A10" s="111" t="inlineStr">
        <is>
          <t>REGN</t>
        </is>
      </c>
      <c r="B10" s="112" t="inlineStr">
        <is>
          <t>Regeneron Pharmaceuticals, Inc.</t>
        </is>
      </c>
      <c r="C10" s="113" t="inlineStr">
        <is>
          <t>NASDAQ</t>
        </is>
      </c>
      <c r="D10" s="174" t="inlineStr">
        <is>
          <t>Oncology</t>
        </is>
      </c>
      <c r="E10" s="112" t="inlineStr">
        <is>
          <t>Colorectal Neoplasms</t>
        </is>
      </c>
      <c r="F10" s="171" t="inlineStr">
        <is>
          <t>Small Molecule</t>
        </is>
      </c>
      <c r="G10" s="112" t="inlineStr">
        <is>
          <t>Aflibercept (ziv-aflibercept, AVE0005, VEGF trap, ZALTRAP®)</t>
        </is>
      </c>
      <c r="H10" s="172" t="inlineStr">
        <is>
          <t>Phase 3</t>
        </is>
      </c>
      <c r="I10" s="113" t="inlineStr">
        <is>
          <t>Feb 2011</t>
        </is>
      </c>
      <c r="J10" s="112" t="inlineStr">
        <is>
          <t>Phase 3 Data Readout</t>
        </is>
      </c>
      <c r="K10" s="112" t="inlineStr">
        <is>
          <t>Regeneron Pharmaceuticals; NSABP Foundation Inc</t>
        </is>
      </c>
      <c r="L10" s="115" t="n">
        <v>78842.7</v>
      </c>
      <c r="M10" s="115" t="n">
        <v>8605.200000000001</v>
      </c>
      <c r="N10" s="116" t="n"/>
      <c r="O10" s="117" t="inlineStr">
        <is>
          <t>CF+</t>
        </is>
      </c>
      <c r="P10" s="118" t="inlineStr">
        <is>
          <t>✅ CF+</t>
        </is>
      </c>
      <c r="Q10" s="119">
        <f>IFERROR(L10-M10,"")</f>
        <v/>
      </c>
      <c r="R10" s="120" t="n">
        <v>821.11</v>
      </c>
      <c r="S10" s="120" t="n">
        <v>476.49</v>
      </c>
      <c r="T10" s="121" t="inlineStr">
        <is>
          <t>Regeneron Pharmaceuticals, Inc. discovers, invents, develops, manufactures, and commercializes medicines to treat various diseases worldwide. The company develops product candidates to treat eye, alle</t>
        </is>
      </c>
    </row>
    <row r="11" ht="30" customHeight="1" s="89">
      <c r="A11" s="100" t="inlineStr">
        <is>
          <t>ARGX</t>
        </is>
      </c>
      <c r="B11" s="101" t="inlineStr">
        <is>
          <t>argenx SE</t>
        </is>
      </c>
      <c r="C11" s="102" t="inlineStr">
        <is>
          <t>NASDAQ (ADR)</t>
        </is>
      </c>
      <c r="D11" s="103" t="inlineStr"/>
      <c r="E11" s="101" t="inlineStr"/>
      <c r="F11" s="103" t="inlineStr"/>
      <c r="G11" s="101" t="inlineStr"/>
      <c r="H11" s="103" t="inlineStr"/>
      <c r="I11" s="102" t="inlineStr"/>
      <c r="J11" s="101" t="inlineStr"/>
      <c r="K11" s="101" t="inlineStr"/>
      <c r="L11" s="104" t="n">
        <v>43346.2</v>
      </c>
      <c r="M11" s="104" t="n">
        <v>4440</v>
      </c>
      <c r="N11" s="105" t="n"/>
      <c r="O11" s="106" t="inlineStr">
        <is>
          <t>CF+</t>
        </is>
      </c>
      <c r="P11" s="107" t="inlineStr">
        <is>
          <t>✅ CF+</t>
        </is>
      </c>
      <c r="Q11" s="108">
        <f>IFERROR(L11-M11,"")</f>
        <v/>
      </c>
      <c r="R11" s="109" t="n">
        <v>934.62</v>
      </c>
      <c r="S11" s="109" t="n">
        <v>510.06</v>
      </c>
      <c r="T11" s="110" t="inlineStr">
        <is>
          <t>argenx SE, a commercial-stage biopharma company, develops various therapies for the treatment of autoimmune diseases in the United States, Japan, China, the Netherlands, and internationally. The compa</t>
        </is>
      </c>
    </row>
    <row r="12" ht="30" customHeight="1" s="89">
      <c r="A12" s="111" t="inlineStr">
        <is>
          <t>ALNY</t>
        </is>
      </c>
      <c r="B12" s="112" t="inlineStr">
        <is>
          <t>Alnylam Pharmaceuticals, Inc.</t>
        </is>
      </c>
      <c r="C12" s="113" t="inlineStr">
        <is>
          <t>NASDAQ</t>
        </is>
      </c>
      <c r="D12" s="170" t="inlineStr">
        <is>
          <t>Infectious Disease</t>
        </is>
      </c>
      <c r="E12" s="112" t="inlineStr">
        <is>
          <t>Hepatitis B, Chronic</t>
        </is>
      </c>
      <c r="F12" s="171" t="inlineStr">
        <is>
          <t>Small Molecule</t>
        </is>
      </c>
      <c r="G12" s="112" t="inlineStr">
        <is>
          <t>VIR-2218</t>
        </is>
      </c>
      <c r="H12" s="168" t="inlineStr">
        <is>
          <t>Phase 2</t>
        </is>
      </c>
      <c r="I12" s="113" t="inlineStr">
        <is>
          <t>Sep 2021</t>
        </is>
      </c>
      <c r="J12" s="112" t="inlineStr">
        <is>
          <t>Phase 2 Data Readout</t>
        </is>
      </c>
      <c r="K12" s="112" t="inlineStr">
        <is>
          <t>Vir Biotechnology, Inc.; Alnylam Pharmaceuticals</t>
        </is>
      </c>
      <c r="L12" s="115" t="n">
        <v>41565.4</v>
      </c>
      <c r="M12" s="115" t="n">
        <v>2908.5</v>
      </c>
      <c r="N12" s="116" t="n"/>
      <c r="O12" s="117" t="inlineStr">
        <is>
          <t>CF+</t>
        </is>
      </c>
      <c r="P12" s="118" t="inlineStr">
        <is>
          <t>✅ CF+</t>
        </is>
      </c>
      <c r="Q12" s="119">
        <f>IFERROR(L12-M12,"")</f>
        <v/>
      </c>
      <c r="R12" s="120" t="n">
        <v>495.55</v>
      </c>
      <c r="S12" s="120" t="n">
        <v>205.87</v>
      </c>
      <c r="T12" s="121" t="inlineStr">
        <is>
          <t>Alnylam Pharmaceuticals, Inc. discovers, develops, manufactures, and commercializes therapeutics based on ribonucleic acid interference in the United States, Europe, and internationally. The company o</t>
        </is>
      </c>
    </row>
    <row r="13" ht="30" customHeight="1" s="89">
      <c r="A13" s="100" t="inlineStr">
        <is>
          <t>NTRA</t>
        </is>
      </c>
      <c r="B13" s="101" t="inlineStr">
        <is>
          <t>Natera, Inc.</t>
        </is>
      </c>
      <c r="C13" s="102" t="inlineStr">
        <is>
          <t>NASDAQ</t>
        </is>
      </c>
      <c r="D13" s="174" t="inlineStr">
        <is>
          <t>Oncology</t>
        </is>
      </c>
      <c r="E13" s="101" t="inlineStr">
        <is>
          <t>Colon Adenocarcinoma</t>
        </is>
      </c>
      <c r="F13" s="173" t="inlineStr">
        <is>
          <t>Monoclonal Ab (mAb)</t>
        </is>
      </c>
      <c r="G13" s="101" t="inlineStr">
        <is>
          <t>Atezolizumab</t>
        </is>
      </c>
      <c r="H13" s="172" t="inlineStr">
        <is>
          <t>Phase 3</t>
        </is>
      </c>
      <c r="I13" s="102" t="inlineStr">
        <is>
          <t>Dec 2026</t>
        </is>
      </c>
      <c r="J13" s="101" t="inlineStr">
        <is>
          <t>Commercial / Label Expansion</t>
        </is>
      </c>
      <c r="K13" s="101" t="inlineStr">
        <is>
          <t>Genentech, Inc.; Natera, Inc.</t>
        </is>
      </c>
      <c r="L13" s="104" t="n">
        <v>26624.2</v>
      </c>
      <c r="M13" s="104" t="n">
        <v>1076.1</v>
      </c>
      <c r="N13" s="105" t="n"/>
      <c r="O13" s="106" t="inlineStr">
        <is>
          <t>CF+</t>
        </is>
      </c>
      <c r="P13" s="107" t="inlineStr">
        <is>
          <t>✅ CF+</t>
        </is>
      </c>
      <c r="Q13" s="108">
        <f>IFERROR(L13-M13,"")</f>
        <v/>
      </c>
      <c r="R13" s="109" t="n">
        <v>256.36</v>
      </c>
      <c r="S13" s="109" t="n">
        <v>125.38</v>
      </c>
      <c r="T13" s="110" t="inlineStr">
        <is>
          <t xml:space="preserve">Natera, Inc., a diagnostics company, engages in the development and commercialization of molecular testing services worldwide. It offers Signatera, a personalized ctDNA blood test for MRD assessment, </t>
        </is>
      </c>
    </row>
    <row r="14" ht="30" customHeight="1" s="89">
      <c r="A14" s="111" t="inlineStr">
        <is>
          <t>RPRX</t>
        </is>
      </c>
      <c r="B14" s="112" t="inlineStr">
        <is>
          <t>Royalty Pharma plc</t>
        </is>
      </c>
      <c r="C14" s="113" t="inlineStr">
        <is>
          <t>NASDAQ</t>
        </is>
      </c>
      <c r="D14" s="114" t="inlineStr"/>
      <c r="E14" s="112" t="inlineStr"/>
      <c r="F14" s="114" t="inlineStr"/>
      <c r="G14" s="112" t="inlineStr"/>
      <c r="H14" s="114" t="inlineStr"/>
      <c r="I14" s="113" t="inlineStr"/>
      <c r="J14" s="112" t="inlineStr"/>
      <c r="K14" s="112" t="inlineStr"/>
      <c r="L14" s="115" t="n">
        <v>26404.4</v>
      </c>
      <c r="M14" s="115" t="n">
        <v>637.5</v>
      </c>
      <c r="N14" s="116" t="n"/>
      <c r="O14" s="117" t="inlineStr">
        <is>
          <t>CF+</t>
        </is>
      </c>
      <c r="P14" s="118" t="inlineStr">
        <is>
          <t>✅ CF+</t>
        </is>
      </c>
      <c r="Q14" s="119">
        <f>IFERROR(L14-M14,"")</f>
        <v/>
      </c>
      <c r="R14" s="120" t="n">
        <v>47.86</v>
      </c>
      <c r="S14" s="120" t="n">
        <v>29.66</v>
      </c>
      <c r="T14" s="121" t="inlineStr">
        <is>
          <t>Royalty Pharma plc operates as a buyer of biopharmaceutical royalties and a funder of innovation in the biopharmaceutical industry in the United States. Its portfolio consists of royalties on approxim</t>
        </is>
      </c>
    </row>
    <row r="15" ht="30" customHeight="1" s="89">
      <c r="A15" s="100" t="inlineStr">
        <is>
          <t>DXCM</t>
        </is>
      </c>
      <c r="B15" s="101" t="inlineStr">
        <is>
          <t>DexCom, Inc.</t>
        </is>
      </c>
      <c r="C15" s="102" t="inlineStr">
        <is>
          <t>NASDAQ</t>
        </is>
      </c>
      <c r="D15" s="168" t="inlineStr">
        <is>
          <t>Cardiometabolic</t>
        </is>
      </c>
      <c r="E15" s="101" t="inlineStr">
        <is>
          <t>Diabetic Nephropathies</t>
        </is>
      </c>
      <c r="F15" s="171" t="inlineStr">
        <is>
          <t>Small Molecule</t>
        </is>
      </c>
      <c r="G15" s="101" t="inlineStr">
        <is>
          <t>Sotagliflozin</t>
        </is>
      </c>
      <c r="H15" s="172" t="inlineStr">
        <is>
          <t>Phase 3</t>
        </is>
      </c>
      <c r="I15" s="102" t="inlineStr">
        <is>
          <t>Dec 2028</t>
        </is>
      </c>
      <c r="J15" s="101" t="inlineStr">
        <is>
          <t>Commercial / Label Expansion</t>
        </is>
      </c>
      <c r="K15" s="101" t="inlineStr">
        <is>
          <t>Canadian Institutes of Health Research (CIHR); The Kidney Foundation of Canada; The Cleveland Clinic</t>
        </is>
      </c>
      <c r="L15" s="104" t="n">
        <v>25054.6</v>
      </c>
      <c r="M15" s="104" t="n">
        <v>1998.7</v>
      </c>
      <c r="N15" s="105" t="n"/>
      <c r="O15" s="106" t="inlineStr">
        <is>
          <t>CF+</t>
        </is>
      </c>
      <c r="P15" s="107" t="inlineStr">
        <is>
          <t>✅ CF+</t>
        </is>
      </c>
      <c r="Q15" s="108">
        <f>IFERROR(L15-M15,"")</f>
        <v/>
      </c>
      <c r="R15" s="109" t="n">
        <v>89.98</v>
      </c>
      <c r="S15" s="109" t="n">
        <v>54.11</v>
      </c>
      <c r="T15" s="110" t="inlineStr">
        <is>
          <t xml:space="preserve">DexCom, Inc., a medical device company, focuses on the design, development, and commercialization of continuous glucose monitoring (CGM) systems for the management of diabetes and metabolic health in </t>
        </is>
      </c>
    </row>
    <row r="16" ht="30" customHeight="1" s="89">
      <c r="A16" s="111" t="inlineStr">
        <is>
          <t>UTHR</t>
        </is>
      </c>
      <c r="B16" s="112" t="inlineStr">
        <is>
          <t>United Therapeutics Corporation</t>
        </is>
      </c>
      <c r="C16" s="113" t="inlineStr">
        <is>
          <t>NASDAQ</t>
        </is>
      </c>
      <c r="D16" s="114" t="inlineStr"/>
      <c r="E16" s="112" t="inlineStr"/>
      <c r="F16" s="114" t="inlineStr"/>
      <c r="G16" s="112" t="inlineStr"/>
      <c r="H16" s="114" t="inlineStr"/>
      <c r="I16" s="113" t="inlineStr"/>
      <c r="J16" s="112" t="inlineStr"/>
      <c r="K16" s="112" t="inlineStr"/>
      <c r="L16" s="115" t="n">
        <v>23496.9</v>
      </c>
      <c r="M16" s="115" t="n">
        <v>2920.3</v>
      </c>
      <c r="N16" s="116" t="n"/>
      <c r="O16" s="117" t="inlineStr">
        <is>
          <t>CF+</t>
        </is>
      </c>
      <c r="P16" s="118" t="inlineStr">
        <is>
          <t>✅ CF+</t>
        </is>
      </c>
      <c r="Q16" s="119">
        <f>IFERROR(L16-M16,"")</f>
        <v/>
      </c>
      <c r="R16" s="120" t="n">
        <v>548.12</v>
      </c>
      <c r="S16" s="120" t="n">
        <v>266.98</v>
      </c>
      <c r="T16" s="121" t="inlineStr">
        <is>
          <t>United Therapeutics Corporation engages in the development and commercialization of products to address the unmet medical needs of patients with chronic and life-threatening diseases in the United Sta</t>
        </is>
      </c>
    </row>
    <row r="17" ht="30" customHeight="1" s="89">
      <c r="A17" s="100" t="inlineStr">
        <is>
          <t>BNTX</t>
        </is>
      </c>
      <c r="B17" s="101" t="inlineStr">
        <is>
          <t>BioNTech SE</t>
        </is>
      </c>
      <c r="C17" s="102" t="inlineStr">
        <is>
          <t>NASDAQ (ADR)</t>
        </is>
      </c>
      <c r="D17" s="174" t="inlineStr">
        <is>
          <t>Oncology</t>
        </is>
      </c>
      <c r="E17" s="101" t="inlineStr">
        <is>
          <t>Breast Neoplasms</t>
        </is>
      </c>
      <c r="F17" s="171" t="inlineStr">
        <is>
          <t>Small Molecule</t>
        </is>
      </c>
      <c r="G17" s="101" t="inlineStr">
        <is>
          <t>Pumitamig</t>
        </is>
      </c>
      <c r="H17" s="172" t="inlineStr">
        <is>
          <t>Phase 3</t>
        </is>
      </c>
      <c r="I17" s="102" t="inlineStr">
        <is>
          <t>Dec 2029</t>
        </is>
      </c>
      <c r="J17" s="101" t="inlineStr">
        <is>
          <t>Phase 3 Readout</t>
        </is>
      </c>
      <c r="K17" s="101" t="inlineStr">
        <is>
          <t>Bristol-Myers Squibb</t>
        </is>
      </c>
      <c r="L17" s="104" t="n">
        <v>22882.4</v>
      </c>
      <c r="M17" s="104" t="n">
        <v>13740.6</v>
      </c>
      <c r="N17" s="105" t="n"/>
      <c r="O17" s="106" t="inlineStr">
        <is>
          <t>CF+</t>
        </is>
      </c>
      <c r="P17" s="107" t="inlineStr">
        <is>
          <t>✅ CF+</t>
        </is>
      </c>
      <c r="Q17" s="108">
        <f>IFERROR(L17-M17,"")</f>
        <v/>
      </c>
      <c r="R17" s="109" t="n">
        <v>124</v>
      </c>
      <c r="S17" s="109" t="n">
        <v>79.52</v>
      </c>
      <c r="T17" s="110" t="inlineStr">
        <is>
          <t xml:space="preserve">BioNTech SE, together with its subsidiaries, engages in the development and commercialization of immunotherapies in Germany. The company offers BNT162, an mRNA vaccine for the treatment of SARS-CoV-2 </t>
        </is>
      </c>
    </row>
    <row r="18" ht="30" customHeight="1" s="89">
      <c r="A18" s="111" t="inlineStr">
        <is>
          <t>MRNA</t>
        </is>
      </c>
      <c r="B18" s="112" t="inlineStr">
        <is>
          <t>Moderna, Inc.</t>
        </is>
      </c>
      <c r="C18" s="113" t="inlineStr">
        <is>
          <t>NASDAQ</t>
        </is>
      </c>
      <c r="D18" s="172" t="inlineStr">
        <is>
          <t>Rare Disease</t>
        </is>
      </c>
      <c r="E18" s="112" t="inlineStr">
        <is>
          <t>Cystic Fibrosis</t>
        </is>
      </c>
      <c r="F18" s="175" t="inlineStr">
        <is>
          <t>RNA (siRNA/ASO/mRNA)</t>
        </is>
      </c>
      <c r="G18" s="112" t="inlineStr">
        <is>
          <t>VX-522 mRNA therapy</t>
        </is>
      </c>
      <c r="H18" s="176" t="inlineStr">
        <is>
          <t>Phase 1/2</t>
        </is>
      </c>
      <c r="I18" s="113" t="inlineStr">
        <is>
          <t>Dec 2026</t>
        </is>
      </c>
      <c r="J18" s="112" t="inlineStr">
        <is>
          <t>Phase 1/2 Data Readout</t>
        </is>
      </c>
      <c r="K18" s="112" t="inlineStr">
        <is>
          <t>Moderna, Inc</t>
        </is>
      </c>
      <c r="L18" s="115" t="n">
        <v>20758</v>
      </c>
      <c r="M18" s="115" t="n">
        <v>5799</v>
      </c>
      <c r="N18" s="122" t="n">
        <v>468.2</v>
      </c>
      <c r="O18" s="117">
        <f>IFERROR(ROUND(M18/N18,1),"")</f>
        <v/>
      </c>
      <c r="P18" s="118">
        <f>IFERROR(IF(O18="CF+","✅ CF+",IF(O18&lt;4,"🔴 &lt;4Q",IF(O18&lt;8,"🟡 4-8Q","🟢 &gt;8Q"))),"—")</f>
        <v/>
      </c>
      <c r="Q18" s="119">
        <f>IFERROR(L18-M18,"")</f>
        <v/>
      </c>
      <c r="R18" s="120" t="n">
        <v>59.55</v>
      </c>
      <c r="S18" s="120" t="n">
        <v>22.28</v>
      </c>
      <c r="T18" s="121" t="inlineStr">
        <is>
          <t>Moderna, Inc., a biotechnology company, provides messenger RNA medicines in the United States, Europe, and internationally. The company's respiratory vaccines include spikevax, mNEXSPIKE, mRESVIA, COV</t>
        </is>
      </c>
    </row>
    <row r="19" ht="30" customHeight="1" s="89">
      <c r="A19" s="100" t="inlineStr">
        <is>
          <t>RVMD</t>
        </is>
      </c>
      <c r="B19" s="101" t="inlineStr">
        <is>
          <t>Revolution Medicines, Inc.</t>
        </is>
      </c>
      <c r="C19" s="102" t="inlineStr">
        <is>
          <t>NASDAQ</t>
        </is>
      </c>
      <c r="D19" s="174" t="inlineStr">
        <is>
          <t>Oncology</t>
        </is>
      </c>
      <c r="E19" s="101" t="inlineStr">
        <is>
          <t>Pancreatic Cancer</t>
        </is>
      </c>
      <c r="F19" s="171" t="inlineStr">
        <is>
          <t>Small Molecule</t>
        </is>
      </c>
      <c r="G19" s="101" t="inlineStr">
        <is>
          <t>daraxonrasib</t>
        </is>
      </c>
      <c r="H19" s="172" t="inlineStr">
        <is>
          <t>Phase 3</t>
        </is>
      </c>
      <c r="I19" s="102" t="inlineStr">
        <is>
          <t>May 2029</t>
        </is>
      </c>
      <c r="J19" s="101" t="inlineStr">
        <is>
          <t>Phase 3 Readout</t>
        </is>
      </c>
      <c r="K19" s="101" t="inlineStr"/>
      <c r="L19" s="104" t="n">
        <v>18798.7</v>
      </c>
      <c r="M19" s="104" t="n">
        <v>2025.7</v>
      </c>
      <c r="N19" s="123" t="n">
        <v>240.8</v>
      </c>
      <c r="O19" s="106">
        <f>IFERROR(ROUND(M19/N19,1),"")</f>
        <v/>
      </c>
      <c r="P19" s="107">
        <f>IFERROR(IF(O19="CF+","✅ CF+",IF(O19&lt;4,"🔴 &lt;4Q",IF(O19&lt;8,"🟡 4-8Q","🟢 &gt;8Q"))),"—")</f>
        <v/>
      </c>
      <c r="Q19" s="108">
        <f>IFERROR(L19-M19,"")</f>
        <v/>
      </c>
      <c r="R19" s="109" t="n">
        <v>124.49</v>
      </c>
      <c r="S19" s="109" t="n">
        <v>29.17</v>
      </c>
      <c r="T19" s="110" t="inlineStr">
        <is>
          <t xml:space="preserve">Revolution Medicines, Inc., a clinical-stage precision oncology company, develops novel targeted therapies for RAS-addicted cancers. The company's research and development pipeline consist of RAS(ON) </t>
        </is>
      </c>
    </row>
    <row r="20" ht="30" customHeight="1" s="89">
      <c r="A20" s="111" t="inlineStr">
        <is>
          <t>INCY</t>
        </is>
      </c>
      <c r="B20" s="112" t="inlineStr">
        <is>
          <t>Incyte Corporation</t>
        </is>
      </c>
      <c r="C20" s="113" t="inlineStr">
        <is>
          <t>NASDAQ</t>
        </is>
      </c>
      <c r="D20" s="177" t="inlineStr">
        <is>
          <t>CNS</t>
        </is>
      </c>
      <c r="E20" s="112" t="inlineStr">
        <is>
          <t>Hidradenitis Suppurativa (HS)</t>
        </is>
      </c>
      <c r="F20" s="171" t="inlineStr">
        <is>
          <t>Small Molecule</t>
        </is>
      </c>
      <c r="G20" s="112" t="inlineStr">
        <is>
          <t>povorcitinib</t>
        </is>
      </c>
      <c r="H20" s="172" t="inlineStr">
        <is>
          <t>Phase 3</t>
        </is>
      </c>
      <c r="I20" s="113" t="inlineStr">
        <is>
          <t>Feb 2028</t>
        </is>
      </c>
      <c r="J20" s="112" t="inlineStr">
        <is>
          <t>Phase 3 Readout</t>
        </is>
      </c>
      <c r="K20" s="112" t="inlineStr"/>
      <c r="L20" s="115" t="n">
        <v>18416.8</v>
      </c>
      <c r="M20" s="115" t="n">
        <v>3580.6</v>
      </c>
      <c r="N20" s="116" t="n"/>
      <c r="O20" s="117" t="inlineStr">
        <is>
          <t>CF+</t>
        </is>
      </c>
      <c r="P20" s="118" t="inlineStr">
        <is>
          <t>✅ CF+</t>
        </is>
      </c>
      <c r="Q20" s="119">
        <f>IFERROR(L20-M20,"")</f>
        <v/>
      </c>
      <c r="R20" s="120" t="n">
        <v>112.29</v>
      </c>
      <c r="S20" s="120" t="n">
        <v>53.56</v>
      </c>
      <c r="T20" s="121" t="inlineStr">
        <is>
          <t>Incyte Corporation, a biopharmaceutical company, engages in the discovery, development, and commercialization of therapeutics in the United States, Europe, Canada, and Japan. The company offers JAKAFI</t>
        </is>
      </c>
    </row>
    <row r="21" ht="30" customHeight="1" s="89">
      <c r="A21" s="100" t="inlineStr">
        <is>
          <t>MKSI</t>
        </is>
      </c>
      <c r="B21" s="101" t="inlineStr">
        <is>
          <t>MKS Inc.</t>
        </is>
      </c>
      <c r="C21" s="102" t="inlineStr">
        <is>
          <t>NASDAQ</t>
        </is>
      </c>
      <c r="D21" s="103" t="inlineStr"/>
      <c r="E21" s="101" t="inlineStr"/>
      <c r="F21" s="103" t="inlineStr"/>
      <c r="G21" s="101" t="inlineStr"/>
      <c r="H21" s="103" t="inlineStr"/>
      <c r="I21" s="102" t="inlineStr"/>
      <c r="J21" s="101" t="inlineStr"/>
      <c r="K21" s="101" t="inlineStr"/>
      <c r="L21" s="104" t="n">
        <v>14354.2</v>
      </c>
      <c r="M21" s="104" t="n">
        <v>675</v>
      </c>
      <c r="N21" s="105" t="n"/>
      <c r="O21" s="106" t="inlineStr">
        <is>
          <t>CF+</t>
        </is>
      </c>
      <c r="P21" s="107" t="inlineStr">
        <is>
          <t>✅ CF+</t>
        </is>
      </c>
      <c r="Q21" s="108">
        <f>IFERROR(L21-M21,"")</f>
        <v/>
      </c>
      <c r="R21" s="109" t="n">
        <v>269.91</v>
      </c>
      <c r="S21" s="109" t="n">
        <v>54.84</v>
      </c>
      <c r="T21" s="110" t="inlineStr">
        <is>
          <t>MKS Inc. provides foundational technology solutions to semiconductor manufacturing, electronics and packaging, and specialty industrial applications in the United States, China, South Korea, Japan, Ta</t>
        </is>
      </c>
    </row>
    <row r="22" ht="30" customHeight="1" s="89">
      <c r="A22" s="111" t="inlineStr">
        <is>
          <t>ASND</t>
        </is>
      </c>
      <c r="B22" s="112" t="inlineStr">
        <is>
          <t>Ascendis Pharma A/S</t>
        </is>
      </c>
      <c r="C22" s="113" t="inlineStr">
        <is>
          <t>NASDAQ (ADR)</t>
        </is>
      </c>
      <c r="D22" s="174" t="inlineStr">
        <is>
          <t>Oncology</t>
        </is>
      </c>
      <c r="E22" s="112" t="inlineStr">
        <is>
          <t>Turner Syndrome</t>
        </is>
      </c>
      <c r="F22" s="171" t="inlineStr">
        <is>
          <t>Small Molecule</t>
        </is>
      </c>
      <c r="G22" s="112" t="inlineStr">
        <is>
          <t>Lonapegsomatropin [SKYTROFA®]</t>
        </is>
      </c>
      <c r="H22" s="172" t="inlineStr">
        <is>
          <t>Phase 3</t>
        </is>
      </c>
      <c r="I22" s="113" t="inlineStr">
        <is>
          <t>Feb 2028</t>
        </is>
      </c>
      <c r="J22" s="112" t="inlineStr">
        <is>
          <t>Commercial / Label Expansion</t>
        </is>
      </c>
      <c r="K22" s="112" t="inlineStr"/>
      <c r="L22" s="115" t="n">
        <v>13873.6</v>
      </c>
      <c r="M22" s="115" t="n">
        <v>616</v>
      </c>
      <c r="N22" s="116" t="n"/>
      <c r="O22" s="117" t="inlineStr">
        <is>
          <t>CF+</t>
        </is>
      </c>
      <c r="P22" s="118" t="inlineStr">
        <is>
          <t>✅ CF+</t>
        </is>
      </c>
      <c r="Q22" s="119">
        <f>IFERROR(L22-M22,"")</f>
        <v/>
      </c>
      <c r="R22" s="120" t="n">
        <v>248.6</v>
      </c>
      <c r="S22" s="120" t="n">
        <v>124.06</v>
      </c>
      <c r="T22" s="121" t="inlineStr">
        <is>
          <t xml:space="preserve">Ascendis Pharma A/S, operates as a biopharmaceutical company that focuses on developing TransCon-based therapies for unmet medical needs in Europe, the United States, and internationally. The company </t>
        </is>
      </c>
    </row>
    <row r="23" ht="30" customHeight="1" s="89">
      <c r="A23" s="100" t="inlineStr">
        <is>
          <t>BBIO</t>
        </is>
      </c>
      <c r="B23" s="101" t="inlineStr">
        <is>
          <t>BridgeBio Pharma, Inc.</t>
        </is>
      </c>
      <c r="C23" s="102" t="inlineStr">
        <is>
          <t>NASDAQ</t>
        </is>
      </c>
      <c r="D23" s="168" t="inlineStr">
        <is>
          <t>Cardiometabolic</t>
        </is>
      </c>
      <c r="E23" s="101" t="inlineStr">
        <is>
          <t>Transthyretin (TTR) Amyloid Cardiomyopathy</t>
        </is>
      </c>
      <c r="F23" s="103" t="inlineStr"/>
      <c r="G23" s="101" t="inlineStr"/>
      <c r="H23" s="169" t="inlineStr">
        <is>
          <t>Preclinical</t>
        </is>
      </c>
      <c r="I23" s="102" t="inlineStr">
        <is>
          <t>Jan 2027</t>
        </is>
      </c>
      <c r="J23" s="101" t="inlineStr">
        <is>
          <t>Clinical Update</t>
        </is>
      </c>
      <c r="K23" s="101" t="inlineStr">
        <is>
          <t>Bridgebio Pharma, Inc</t>
        </is>
      </c>
      <c r="L23" s="104" t="n">
        <v>13456</v>
      </c>
      <c r="M23" s="104" t="n">
        <v>587.5</v>
      </c>
      <c r="N23" s="123" t="n">
        <v>83</v>
      </c>
      <c r="O23" s="106">
        <f>IFERROR(ROUND(M23/N23,1),"")</f>
        <v/>
      </c>
      <c r="P23" s="107">
        <f>IFERROR(IF(O23="CF+","✅ CF+",IF(O23&lt;4,"🔴 &lt;4Q",IF(O23&lt;8,"🟡 4-8Q","🟢 &gt;8Q"))),"—")</f>
        <v/>
      </c>
      <c r="Q23" s="108">
        <f>IFERROR(L23-M23,"")</f>
        <v/>
      </c>
      <c r="R23" s="109" t="n">
        <v>84.94</v>
      </c>
      <c r="S23" s="109" t="n">
        <v>28.32</v>
      </c>
      <c r="T23" s="110" t="inlineStr">
        <is>
          <t>BridgeBio Pharma, Inc., a biopharmaceutical company, discovers, develops, and delivers medicines for patients with genetic diseases. The company offers Attruby, a next-generation oral small molecule n</t>
        </is>
      </c>
    </row>
    <row r="24" ht="30" customHeight="1" s="89">
      <c r="A24" s="111" t="inlineStr">
        <is>
          <t>NBIX</t>
        </is>
      </c>
      <c r="B24" s="112" t="inlineStr">
        <is>
          <t>Neurocrine Biosciences, Inc.</t>
        </is>
      </c>
      <c r="C24" s="113" t="inlineStr">
        <is>
          <t>NASDAQ</t>
        </is>
      </c>
      <c r="D24" s="177" t="inlineStr">
        <is>
          <t>CNS</t>
        </is>
      </c>
      <c r="E24" s="112" t="inlineStr">
        <is>
          <t>Parkinson's Disease</t>
        </is>
      </c>
      <c r="F24" s="173" t="inlineStr">
        <is>
          <t>Monoclonal Ab (mAb)</t>
        </is>
      </c>
      <c r="G24" s="112" t="inlineStr">
        <is>
          <t>VY-AADC01</t>
        </is>
      </c>
      <c r="H24" s="174" t="inlineStr">
        <is>
          <t>Phase 1</t>
        </is>
      </c>
      <c r="I24" s="113" t="inlineStr">
        <is>
          <t>Jan 2020</t>
        </is>
      </c>
      <c r="J24" s="112" t="inlineStr">
        <is>
          <t>Phase 1 Data / Dose Escalation</t>
        </is>
      </c>
      <c r="K24" s="112" t="inlineStr">
        <is>
          <t>University of California, San Francisco; Veristat, Inc.; Feinstein Institute for Medical Research</t>
        </is>
      </c>
      <c r="L24" s="115" t="n">
        <v>13025.2</v>
      </c>
      <c r="M24" s="115" t="n">
        <v>1480.4</v>
      </c>
      <c r="N24" s="116" t="n"/>
      <c r="O24" s="117" t="inlineStr">
        <is>
          <t>CF+</t>
        </is>
      </c>
      <c r="P24" s="118" t="inlineStr">
        <is>
          <t>✅ CF+</t>
        </is>
      </c>
      <c r="Q24" s="119">
        <f>IFERROR(L24-M24,"")</f>
        <v/>
      </c>
      <c r="R24" s="120" t="n">
        <v>160.18</v>
      </c>
      <c r="S24" s="120" t="n">
        <v>84.23</v>
      </c>
      <c r="T24" s="121" t="inlineStr">
        <is>
          <t xml:space="preserve">Neurocrine Biosciences, Inc. discovers, develops, and commercialize pharmaceuticals for neurological, psychiatric, endocrine, and immunological disorders in the United States and internationally. The </t>
        </is>
      </c>
    </row>
    <row r="25" ht="30" customHeight="1" s="89">
      <c r="A25" s="100" t="inlineStr">
        <is>
          <t>SMMT</t>
        </is>
      </c>
      <c r="B25" s="101" t="inlineStr">
        <is>
          <t>Summit Therapeutics Inc.</t>
        </is>
      </c>
      <c r="C25" s="102" t="inlineStr">
        <is>
          <t>NGM</t>
        </is>
      </c>
      <c r="D25" s="174" t="inlineStr">
        <is>
          <t>Oncology</t>
        </is>
      </c>
      <c r="E25" s="101" t="inlineStr">
        <is>
          <t>Advanced Solid Tumors</t>
        </is>
      </c>
      <c r="F25" s="173" t="inlineStr">
        <is>
          <t>Monoclonal Ab (mAb)</t>
        </is>
      </c>
      <c r="G25" s="101" t="inlineStr">
        <is>
          <t>Daraxonrasib</t>
        </is>
      </c>
      <c r="H25" s="176" t="inlineStr">
        <is>
          <t>Phase 1/2</t>
        </is>
      </c>
      <c r="I25" s="102" t="inlineStr">
        <is>
          <t>May 2029</t>
        </is>
      </c>
      <c r="J25" s="101" t="inlineStr">
        <is>
          <t>Phase 1/2 Data Readout</t>
        </is>
      </c>
      <c r="K25" s="101" t="inlineStr">
        <is>
          <t>Summit Therapeutics</t>
        </is>
      </c>
      <c r="L25" s="104" t="n">
        <v>12499</v>
      </c>
      <c r="M25" s="104" t="n">
        <v>713.4</v>
      </c>
      <c r="N25" s="123" t="n">
        <v>97.5</v>
      </c>
      <c r="O25" s="106">
        <f>IFERROR(ROUND(M25/N25,1),"")</f>
        <v/>
      </c>
      <c r="P25" s="107">
        <f>IFERROR(IF(O25="CF+","✅ CF+",IF(O25&lt;4,"🔴 &lt;4Q",IF(O25&lt;8,"🟡 4-8Q","🟢 &gt;8Q"))),"—")</f>
        <v/>
      </c>
      <c r="Q25" s="108">
        <f>IFERROR(L25-M25,"")</f>
        <v/>
      </c>
      <c r="R25" s="109" t="n">
        <v>36.91</v>
      </c>
      <c r="S25" s="109" t="n">
        <v>13.83</v>
      </c>
      <c r="T25" s="110" t="inlineStr">
        <is>
          <t>Summit Therapeutics Inc., a biopharmaceutical company, focuses on discovery, development, and commercialization of patient, physician, caregiver, and societal friendly medicinal therapies. Its lead de</t>
        </is>
      </c>
    </row>
    <row r="26" ht="30" customHeight="1" s="89">
      <c r="A26" s="111" t="inlineStr">
        <is>
          <t>ALGN</t>
        </is>
      </c>
      <c r="B26" s="112" t="inlineStr">
        <is>
          <t>Align Technology, Inc.</t>
        </is>
      </c>
      <c r="C26" s="113" t="inlineStr">
        <is>
          <t>NASDAQ</t>
        </is>
      </c>
      <c r="D26" s="169" t="inlineStr">
        <is>
          <t>Other</t>
        </is>
      </c>
      <c r="E26" s="112" t="inlineStr">
        <is>
          <t>Malocclusions</t>
        </is>
      </c>
      <c r="F26" s="171" t="inlineStr">
        <is>
          <t>Small Molecule</t>
        </is>
      </c>
      <c r="G26" s="112" t="inlineStr">
        <is>
          <t>Probiotics</t>
        </is>
      </c>
      <c r="H26" s="169" t="inlineStr">
        <is>
          <t>Preclinical</t>
        </is>
      </c>
      <c r="I26" s="113" t="inlineStr">
        <is>
          <t>Nov 2025</t>
        </is>
      </c>
      <c r="J26" s="112" t="inlineStr">
        <is>
          <t>Clinical Update</t>
        </is>
      </c>
      <c r="K26" s="112" t="inlineStr"/>
      <c r="L26" s="115" t="n">
        <v>11783.5</v>
      </c>
      <c r="M26" s="115" t="n">
        <v>1094.9</v>
      </c>
      <c r="N26" s="116" t="n"/>
      <c r="O26" s="117" t="inlineStr">
        <is>
          <t>CF+</t>
        </is>
      </c>
      <c r="P26" s="118" t="inlineStr">
        <is>
          <t>✅ CF+</t>
        </is>
      </c>
      <c r="Q26" s="119">
        <f>IFERROR(L26-M26,"")</f>
        <v/>
      </c>
      <c r="R26" s="120" t="n">
        <v>208.31</v>
      </c>
      <c r="S26" s="120" t="n">
        <v>122</v>
      </c>
      <c r="T26" s="121" t="inlineStr">
        <is>
          <t>Align Technology, Inc. provides Invisalign clear aligners, Vivera retainers, and iTero intraoral scanners and services in the United States, Switzerland, and internationally. The company's Clear Align</t>
        </is>
      </c>
    </row>
    <row r="27" ht="30" customHeight="1" s="89">
      <c r="A27" s="100" t="inlineStr">
        <is>
          <t>IONS</t>
        </is>
      </c>
      <c r="B27" s="101" t="inlineStr">
        <is>
          <t>Ionis Pharmaceuticals, Inc.</t>
        </is>
      </c>
      <c r="C27" s="102" t="inlineStr">
        <is>
          <t>NASDAQ</t>
        </is>
      </c>
      <c r="D27" s="172" t="inlineStr">
        <is>
          <t>Rare Disease</t>
        </is>
      </c>
      <c r="E27" s="101" t="inlineStr">
        <is>
          <t>Angelman Syndrome</t>
        </is>
      </c>
      <c r="F27" s="171" t="inlineStr">
        <is>
          <t>Small Molecule</t>
        </is>
      </c>
      <c r="G27" s="101" t="inlineStr">
        <is>
          <t>ION582</t>
        </is>
      </c>
      <c r="H27" s="172" t="inlineStr">
        <is>
          <t>Phase 3</t>
        </is>
      </c>
      <c r="I27" s="102" t="inlineStr">
        <is>
          <t>Aug 2027</t>
        </is>
      </c>
      <c r="J27" s="101" t="inlineStr">
        <is>
          <t>Phase 3 Readout</t>
        </is>
      </c>
      <c r="K27" s="101" t="inlineStr"/>
      <c r="L27" s="104" t="n">
        <v>11760</v>
      </c>
      <c r="M27" s="104" t="n">
        <v>2680.4</v>
      </c>
      <c r="N27" s="123" t="n">
        <v>134.6</v>
      </c>
      <c r="O27" s="106">
        <f>IFERROR(ROUND(M27/N27,1),"")</f>
        <v/>
      </c>
      <c r="P27" s="107">
        <f>IFERROR(IF(O27="CF+","✅ CF+",IF(O27&lt;4,"🔴 &lt;4Q",IF(O27&lt;8,"🟡 4-8Q","🟢 &gt;8Q"))),"—")</f>
        <v/>
      </c>
      <c r="Q27" s="108">
        <f>IFERROR(L27-M27,"")</f>
        <v/>
      </c>
      <c r="R27" s="109" t="n">
        <v>86.73999999999999</v>
      </c>
      <c r="S27" s="109" t="n">
        <v>23.95</v>
      </c>
      <c r="T27" s="110" t="inlineStr">
        <is>
          <t>Ionis Pharmaceuticals, Inc., a commercial-stage biotechnology company, provides RNA-targeted medicines in the United States. The company offers TRYNGOLZA reduces triglyceride levels in adults with fam</t>
        </is>
      </c>
    </row>
    <row r="28" ht="30" customHeight="1" s="89">
      <c r="A28" s="111" t="inlineStr">
        <is>
          <t>LSCC</t>
        </is>
      </c>
      <c r="B28" s="112" t="inlineStr">
        <is>
          <t>Lattice Semiconductor Corporation</t>
        </is>
      </c>
      <c r="C28" s="113" t="inlineStr">
        <is>
          <t>NASDAQ</t>
        </is>
      </c>
      <c r="D28" s="114" t="inlineStr"/>
      <c r="E28" s="112" t="inlineStr"/>
      <c r="F28" s="114" t="inlineStr"/>
      <c r="G28" s="112" t="inlineStr"/>
      <c r="H28" s="114" t="inlineStr"/>
      <c r="I28" s="113" t="inlineStr"/>
      <c r="J28" s="112" t="inlineStr"/>
      <c r="K28" s="112" t="inlineStr"/>
      <c r="L28" s="115" t="n">
        <v>11732.2</v>
      </c>
      <c r="M28" s="115" t="n">
        <v>133.9</v>
      </c>
      <c r="N28" s="116" t="n"/>
      <c r="O28" s="117" t="inlineStr">
        <is>
          <t>CF+</t>
        </is>
      </c>
      <c r="P28" s="118" t="inlineStr">
        <is>
          <t>✅ CF+</t>
        </is>
      </c>
      <c r="Q28" s="119">
        <f>IFERROR(L28-M28,"")</f>
        <v/>
      </c>
      <c r="R28" s="120" t="n">
        <v>108.08</v>
      </c>
      <c r="S28" s="120" t="n">
        <v>34.69</v>
      </c>
      <c r="T28" s="121" t="inlineStr">
        <is>
          <t>Lattice Semiconductor Corporation, together with its subsidiaries, develops and sells semiconductor, silicon-based and silicon-enabling, evaluation boards, and development hardware products in Asia, E</t>
        </is>
      </c>
    </row>
    <row r="29" ht="30" customHeight="1" s="89">
      <c r="A29" s="100" t="inlineStr">
        <is>
          <t>ELAN</t>
        </is>
      </c>
      <c r="B29" s="101" t="inlineStr">
        <is>
          <t>Elanco Animal Health Incorporated</t>
        </is>
      </c>
      <c r="C29" s="102" t="inlineStr">
        <is>
          <t>NYSE</t>
        </is>
      </c>
      <c r="D29" s="103" t="inlineStr"/>
      <c r="E29" s="101" t="inlineStr"/>
      <c r="F29" s="103" t="inlineStr"/>
      <c r="G29" s="101" t="inlineStr"/>
      <c r="H29" s="103" t="inlineStr"/>
      <c r="I29" s="102" t="inlineStr"/>
      <c r="J29" s="101" t="inlineStr"/>
      <c r="K29" s="101" t="inlineStr"/>
      <c r="L29" s="104" t="n">
        <v>11405</v>
      </c>
      <c r="M29" s="104" t="n">
        <v>545</v>
      </c>
      <c r="N29" s="105" t="n"/>
      <c r="O29" s="106" t="inlineStr">
        <is>
          <t>CF+</t>
        </is>
      </c>
      <c r="P29" s="107" t="inlineStr">
        <is>
          <t>✅ CF+</t>
        </is>
      </c>
      <c r="Q29" s="108">
        <f>IFERROR(L29-M29,"")</f>
        <v/>
      </c>
      <c r="R29" s="109" t="n">
        <v>27.72</v>
      </c>
      <c r="S29" s="109" t="n">
        <v>8.02</v>
      </c>
      <c r="T29" s="110" t="inlineStr">
        <is>
          <t>Elanco Animal Health Incorporated, an animal health company, innovates, develops, manufactures, and markets products for pets and farm animals worldwide. The company offers pet health products, such a</t>
        </is>
      </c>
    </row>
    <row r="30" ht="30" customHeight="1" s="89">
      <c r="A30" s="111" t="inlineStr">
        <is>
          <t>BMRN</t>
        </is>
      </c>
      <c r="B30" s="112" t="inlineStr">
        <is>
          <t>BioMarin Pharmaceutical Inc.</t>
        </is>
      </c>
      <c r="C30" s="113" t="inlineStr">
        <is>
          <t>NASDAQ</t>
        </is>
      </c>
      <c r="D30" s="174" t="inlineStr">
        <is>
          <t>Oncology</t>
        </is>
      </c>
      <c r="E30" s="112" t="inlineStr">
        <is>
          <t>Metastatic Cancer</t>
        </is>
      </c>
      <c r="F30" s="171" t="inlineStr">
        <is>
          <t>Small Molecule</t>
        </is>
      </c>
      <c r="G30" s="112" t="inlineStr">
        <is>
          <t>PARP inhibitor BMN-673</t>
        </is>
      </c>
      <c r="H30" s="174" t="inlineStr">
        <is>
          <t>Phase 1</t>
        </is>
      </c>
      <c r="I30" s="113" t="inlineStr">
        <is>
          <t>Oct 2019</t>
        </is>
      </c>
      <c r="J30" s="112" t="inlineStr">
        <is>
          <t>Phase 1 Data / Dose Escalation</t>
        </is>
      </c>
      <c r="K30" s="112" t="inlineStr">
        <is>
          <t>Translational Research in Oncology; BioMarin Pharmaceutical; Medivation, Inc.</t>
        </is>
      </c>
      <c r="L30" s="115" t="n">
        <v>11252.8</v>
      </c>
      <c r="M30" s="115" t="n">
        <v>1560.6</v>
      </c>
      <c r="N30" s="116" t="n"/>
      <c r="O30" s="117" t="inlineStr">
        <is>
          <t>CF+</t>
        </is>
      </c>
      <c r="P30" s="118" t="inlineStr">
        <is>
          <t>✅ CF+</t>
        </is>
      </c>
      <c r="Q30" s="119">
        <f>IFERROR(L30-M30,"")</f>
        <v/>
      </c>
      <c r="R30" s="120" t="n">
        <v>73.18000000000001</v>
      </c>
      <c r="S30" s="120" t="n">
        <v>50.76</v>
      </c>
      <c r="T30" s="121" t="inlineStr">
        <is>
          <t>BioMarin Pharmaceutical Inc., a biotechnology company, engages in the development and commercialization of therapies for life-threatening rare diseases and medical conditions in the United States, Eur</t>
        </is>
      </c>
    </row>
    <row r="31" ht="30" customHeight="1" s="89">
      <c r="A31" s="100" t="inlineStr">
        <is>
          <t>EXEL</t>
        </is>
      </c>
      <c r="B31" s="101" t="inlineStr">
        <is>
          <t>Exelixis, Inc.</t>
        </is>
      </c>
      <c r="C31" s="102" t="inlineStr">
        <is>
          <t>NASDAQ</t>
        </is>
      </c>
      <c r="D31" s="174" t="inlineStr">
        <is>
          <t>Oncology</t>
        </is>
      </c>
      <c r="E31" s="101" t="inlineStr">
        <is>
          <t>Cancer</t>
        </is>
      </c>
      <c r="F31" s="173" t="inlineStr">
        <is>
          <t>Monoclonal Ab (mAb)</t>
        </is>
      </c>
      <c r="G31" s="101" t="inlineStr">
        <is>
          <t>Nivolumab</t>
        </is>
      </c>
      <c r="H31" s="168" t="inlineStr">
        <is>
          <t>Phase 2</t>
        </is>
      </c>
      <c r="I31" s="102" t="inlineStr">
        <is>
          <t>Aug 2029</t>
        </is>
      </c>
      <c r="J31" s="101" t="inlineStr">
        <is>
          <t>Phase 2 Data Readout</t>
        </is>
      </c>
      <c r="K31" s="101" t="inlineStr">
        <is>
          <t>Exelixis; Novartis; Clovis Oncology, Inc.</t>
        </is>
      </c>
      <c r="L31" s="104" t="n">
        <v>11056.9</v>
      </c>
      <c r="M31" s="104" t="n">
        <v>1059.1</v>
      </c>
      <c r="N31" s="105" t="n"/>
      <c r="O31" s="106" t="inlineStr">
        <is>
          <t>CF+</t>
        </is>
      </c>
      <c r="P31" s="107" t="inlineStr">
        <is>
          <t>✅ CF+</t>
        </is>
      </c>
      <c r="Q31" s="108">
        <f>IFERROR(L31-M31,"")</f>
        <v/>
      </c>
      <c r="R31" s="109" t="n">
        <v>49.62</v>
      </c>
      <c r="S31" s="109" t="n">
        <v>32.38</v>
      </c>
      <c r="T31" s="110" t="inlineStr">
        <is>
          <t>Exelixis, Inc., an oncology company, focuses on the discovery, development, and commercialization of new medicines for difficult-to-treat cancers in the United States. The company offers CABOMETYX tab</t>
        </is>
      </c>
    </row>
    <row r="32" ht="30" customHeight="1" s="89">
      <c r="A32" s="111" t="inlineStr">
        <is>
          <t>JAZZ</t>
        </is>
      </c>
      <c r="B32" s="112" t="inlineStr">
        <is>
          <t>Jazz Pharmaceuticals plc</t>
        </is>
      </c>
      <c r="C32" s="113" t="inlineStr">
        <is>
          <t>NASDAQ (ADR)</t>
        </is>
      </c>
      <c r="D32" s="177" t="inlineStr">
        <is>
          <t>CNS</t>
        </is>
      </c>
      <c r="E32" s="112" t="inlineStr">
        <is>
          <t>Narcolepsy</t>
        </is>
      </c>
      <c r="F32" s="114" t="inlineStr"/>
      <c r="G32" s="112" t="inlineStr"/>
      <c r="H32" s="169" t="inlineStr">
        <is>
          <t>Preclinical</t>
        </is>
      </c>
      <c r="I32" s="113" t="inlineStr">
        <is>
          <t>Aug 2021</t>
        </is>
      </c>
      <c r="J32" s="112" t="inlineStr">
        <is>
          <t>Clinical Update</t>
        </is>
      </c>
      <c r="K32" s="112" t="inlineStr">
        <is>
          <t>Invitae Corporation; Wake Up Narcolepsy; Narcolepsy Network</t>
        </is>
      </c>
      <c r="L32" s="115" t="n">
        <v>10991.6</v>
      </c>
      <c r="M32" s="115" t="n">
        <v>2441.9</v>
      </c>
      <c r="N32" s="116" t="n"/>
      <c r="O32" s="117" t="inlineStr">
        <is>
          <t>CF+</t>
        </is>
      </c>
      <c r="P32" s="118" t="inlineStr">
        <is>
          <t>✅ CF+</t>
        </is>
      </c>
      <c r="Q32" s="119">
        <f>IFERROR(L32-M32,"")</f>
        <v/>
      </c>
      <c r="R32" s="120" t="n">
        <v>198</v>
      </c>
      <c r="S32" s="120" t="n">
        <v>95.48999999999999</v>
      </c>
      <c r="T32" s="121" t="inlineStr">
        <is>
          <t>Jazz Pharmaceuticals plc identifies, develops, and commercializes pharmaceutical products in the United States, Europe, and internationally. The company offers Xywav to treat cataplexy or excessive da</t>
        </is>
      </c>
    </row>
    <row r="33" ht="30" customHeight="1" s="89">
      <c r="A33" s="100" t="inlineStr">
        <is>
          <t>MDGL</t>
        </is>
      </c>
      <c r="B33" s="101" t="inlineStr">
        <is>
          <t>Madrigal Pharmaceuticals, Inc.</t>
        </is>
      </c>
      <c r="C33" s="102" t="inlineStr">
        <is>
          <t>NASDAQ</t>
        </is>
      </c>
      <c r="D33" s="168" t="inlineStr">
        <is>
          <t>Cardiometabolic</t>
        </is>
      </c>
      <c r="E33" s="101" t="inlineStr">
        <is>
          <t>Non-Alcoholic Fatty Liver Disease</t>
        </is>
      </c>
      <c r="F33" s="171" t="inlineStr">
        <is>
          <t>Small Molecule</t>
        </is>
      </c>
      <c r="G33" s="101" t="inlineStr">
        <is>
          <t>Resmetirom</t>
        </is>
      </c>
      <c r="H33" s="172" t="inlineStr">
        <is>
          <t>Phase 3</t>
        </is>
      </c>
      <c r="I33" s="102" t="inlineStr">
        <is>
          <t>Mar 2026</t>
        </is>
      </c>
      <c r="J33" s="101" t="inlineStr">
        <is>
          <t>Phase 3 Readout</t>
        </is>
      </c>
      <c r="K33" s="101" t="inlineStr"/>
      <c r="L33" s="104" t="n">
        <v>10102.7</v>
      </c>
      <c r="M33" s="104" t="n">
        <v>983.6</v>
      </c>
      <c r="N33" s="123" t="n">
        <v>47.4</v>
      </c>
      <c r="O33" s="106">
        <f>IFERROR(ROUND(M33/N33,1),"")</f>
        <v/>
      </c>
      <c r="P33" s="107">
        <f>IFERROR(IF(O33="CF+","✅ CF+",IF(O33&lt;4,"🔴 &lt;4Q",IF(O33&lt;8,"🟡 4-8Q","🟢 &gt;8Q"))),"—")</f>
        <v/>
      </c>
      <c r="Q33" s="108">
        <f>IFERROR(L33-M33,"")</f>
        <v/>
      </c>
      <c r="R33" s="109" t="n">
        <v>615</v>
      </c>
      <c r="S33" s="109" t="n">
        <v>265</v>
      </c>
      <c r="T33" s="110" t="inlineStr">
        <is>
          <t>Madrigal Pharmaceuticals, Inc., a biopharmaceutical company, focuses on delivering novel therapeutics for metabolic dysfunction-associated steatohepatitis (MASH) in the United States. It offers Rezdif</t>
        </is>
      </c>
    </row>
    <row r="34" ht="30" customHeight="1" s="89">
      <c r="A34" s="111" t="inlineStr">
        <is>
          <t>PRAX</t>
        </is>
      </c>
      <c r="B34" s="112" t="inlineStr">
        <is>
          <t>Praxis Precision Medicines, Inc.</t>
        </is>
      </c>
      <c r="C34" s="113" t="inlineStr">
        <is>
          <t>NASDAQ</t>
        </is>
      </c>
      <c r="D34" s="114" t="inlineStr"/>
      <c r="E34" s="112" t="inlineStr"/>
      <c r="F34" s="114" t="inlineStr"/>
      <c r="G34" s="112" t="inlineStr"/>
      <c r="H34" s="114" t="inlineStr"/>
      <c r="I34" s="113" t="inlineStr"/>
      <c r="J34" s="112" t="inlineStr"/>
      <c r="K34" s="112" t="inlineStr"/>
      <c r="L34" s="115" t="n">
        <v>8186.8</v>
      </c>
      <c r="M34" s="115" t="n">
        <v>599.3</v>
      </c>
      <c r="N34" s="122" t="n">
        <v>70.7</v>
      </c>
      <c r="O34" s="117">
        <f>IFERROR(ROUND(M34/N34,1),"")</f>
        <v/>
      </c>
      <c r="P34" s="118">
        <f>IFERROR(IF(O34="CF+","✅ CF+",IF(O34&lt;4,"🔴 &lt;4Q",IF(O34&lt;8,"🟡 4-8Q","🟢 &gt;8Q"))),"—")</f>
        <v/>
      </c>
      <c r="Q34" s="119">
        <f>IFERROR(L34-M34,"")</f>
        <v/>
      </c>
      <c r="R34" s="120" t="n">
        <v>356</v>
      </c>
      <c r="S34" s="120" t="n">
        <v>26.7</v>
      </c>
      <c r="T34" s="121" t="inlineStr">
        <is>
          <t>Praxis Precision Medicines, Inc., a clinical-stage biopharmaceutical company, engages in the development of therapies for central nervous system (CNS) disorders characterized by neuronal excitation-in</t>
        </is>
      </c>
    </row>
    <row r="35" ht="30" customHeight="1" s="89">
      <c r="A35" s="100" t="inlineStr">
        <is>
          <t>AXSM</t>
        </is>
      </c>
      <c r="B35" s="101" t="inlineStr">
        <is>
          <t>Axsome Therapeutics, Inc.</t>
        </is>
      </c>
      <c r="C35" s="102" t="inlineStr">
        <is>
          <t>NGM</t>
        </is>
      </c>
      <c r="D35" s="177" t="inlineStr">
        <is>
          <t>CNS</t>
        </is>
      </c>
      <c r="E35" s="101" t="inlineStr">
        <is>
          <t>Fibromyalgia</t>
        </is>
      </c>
      <c r="F35" s="171" t="inlineStr">
        <is>
          <t>Small Molecule</t>
        </is>
      </c>
      <c r="G35" s="101" t="inlineStr">
        <is>
          <t>AXS-14 (Esreboxetine)</t>
        </is>
      </c>
      <c r="H35" s="172" t="inlineStr">
        <is>
          <t>Phase 3</t>
        </is>
      </c>
      <c r="I35" s="102" t="inlineStr">
        <is>
          <t>Mar 2028</t>
        </is>
      </c>
      <c r="J35" s="101" t="inlineStr">
        <is>
          <t>Commercial / Label Expansion</t>
        </is>
      </c>
      <c r="K35" s="101" t="inlineStr"/>
      <c r="L35" s="104" t="n">
        <v>7984</v>
      </c>
      <c r="M35" s="104" t="n">
        <v>322.9</v>
      </c>
      <c r="N35" s="123" t="n">
        <v>8.800000000000001</v>
      </c>
      <c r="O35" s="106">
        <f>IFERROR(ROUND(M35/N35,1),"")</f>
        <v/>
      </c>
      <c r="P35" s="107">
        <f>IFERROR(IF(O35="CF+","✅ CF+",IF(O35&lt;4,"🔴 &lt;4Q",IF(O35&lt;8,"🟡 4-8Q","🟢 &gt;8Q"))),"—")</f>
        <v/>
      </c>
      <c r="Q35" s="108">
        <f>IFERROR(L35-M35,"")</f>
        <v/>
      </c>
      <c r="R35" s="109" t="n">
        <v>191.5</v>
      </c>
      <c r="S35" s="109" t="n">
        <v>86.98999999999999</v>
      </c>
      <c r="T35" s="110" t="inlineStr">
        <is>
          <t>Axsome Therapeutics, Inc., a biopharmaceutical company, develops and delivers novel therapies for the management of central nervous system (CNS) disorders in the United States. The company's commercia</t>
        </is>
      </c>
    </row>
    <row r="36" ht="30" customHeight="1" s="89">
      <c r="A36" s="111" t="inlineStr">
        <is>
          <t>PCVX</t>
        </is>
      </c>
      <c r="B36" s="112" t="inlineStr">
        <is>
          <t>Vaxcyte, Inc.</t>
        </is>
      </c>
      <c r="C36" s="113" t="inlineStr">
        <is>
          <t>NASDAQ</t>
        </is>
      </c>
      <c r="D36" s="170" t="inlineStr">
        <is>
          <t>Infectious Disease</t>
        </is>
      </c>
      <c r="E36" s="112" t="inlineStr">
        <is>
          <t>Pneumococcal Vaccines</t>
        </is>
      </c>
      <c r="F36" s="173" t="inlineStr">
        <is>
          <t>Monoclonal Ab (mAb)</t>
        </is>
      </c>
      <c r="G36" s="112" t="inlineStr">
        <is>
          <t>31 valent pneumococcal conjugate vaccine</t>
        </is>
      </c>
      <c r="H36" s="172" t="inlineStr">
        <is>
          <t>Phase 3</t>
        </is>
      </c>
      <c r="I36" s="113" t="inlineStr">
        <is>
          <t>Jan 2027</t>
        </is>
      </c>
      <c r="J36" s="112" t="inlineStr">
        <is>
          <t>Phase 3 Readout</t>
        </is>
      </c>
      <c r="K36" s="112" t="inlineStr"/>
      <c r="L36" s="115" t="n">
        <v>7925.4</v>
      </c>
      <c r="M36" s="115" t="n">
        <v>1561</v>
      </c>
      <c r="N36" s="122" t="n">
        <v>184.1</v>
      </c>
      <c r="O36" s="117">
        <f>IFERROR(ROUND(M36/N36,1),"")</f>
        <v/>
      </c>
      <c r="P36" s="118">
        <f>IFERROR(IF(O36="CF+","✅ CF+",IF(O36&lt;4,"🔴 &lt;4Q",IF(O36&lt;8,"🟡 4-8Q","🟢 &gt;8Q"))),"—")</f>
        <v/>
      </c>
      <c r="Q36" s="119">
        <f>IFERROR(L36-M36,"")</f>
        <v/>
      </c>
      <c r="R36" s="120" t="n">
        <v>76.61</v>
      </c>
      <c r="S36" s="120" t="n">
        <v>27.66</v>
      </c>
      <c r="T36" s="121" t="inlineStr">
        <is>
          <t>Vaxcyte, Inc., a clinical-stage vaccine innovation company, develops conjugate and novel protein vaccines to prevent or treat bacterial infectious diseases. Its lead vaccine candidate is VAX-24, a 24-</t>
        </is>
      </c>
    </row>
    <row r="37" ht="30" customHeight="1" s="89">
      <c r="A37" s="100" t="inlineStr">
        <is>
          <t>ARWR</t>
        </is>
      </c>
      <c r="B37" s="101" t="inlineStr">
        <is>
          <t>Arrowhead Pharmaceuticals, Inc.</t>
        </is>
      </c>
      <c r="C37" s="102" t="inlineStr">
        <is>
          <t>NASDAQ</t>
        </is>
      </c>
      <c r="D37" s="103" t="inlineStr"/>
      <c r="E37" s="101" t="inlineStr"/>
      <c r="F37" s="103" t="inlineStr"/>
      <c r="G37" s="101" t="inlineStr"/>
      <c r="H37" s="103" t="inlineStr"/>
      <c r="I37" s="102" t="inlineStr"/>
      <c r="J37" s="101" t="inlineStr"/>
      <c r="K37" s="101" t="inlineStr"/>
      <c r="L37" s="104" t="n">
        <v>7708.8</v>
      </c>
      <c r="M37" s="104" t="n">
        <v>914.7</v>
      </c>
      <c r="N37" s="105" t="n"/>
      <c r="O37" s="106" t="inlineStr">
        <is>
          <t>CF+</t>
        </is>
      </c>
      <c r="P37" s="107" t="inlineStr">
        <is>
          <t>✅ CF+</t>
        </is>
      </c>
      <c r="Q37" s="108">
        <f>IFERROR(L37-M37,"")</f>
        <v/>
      </c>
      <c r="R37" s="109" t="n">
        <v>76.76000000000001</v>
      </c>
      <c r="S37" s="109" t="n">
        <v>9.57</v>
      </c>
      <c r="T37" s="110" t="inlineStr">
        <is>
          <t>Arrowhead Pharmaceuticals, Inc. develops medicines for the treatment of intractable diseases in the United States. Its pipeline includes Plozasiran to reduce production of apolipoprotein C-III in Phas</t>
        </is>
      </c>
    </row>
    <row r="38" ht="30" customHeight="1" s="89">
      <c r="A38" s="111" t="inlineStr">
        <is>
          <t>NUVL</t>
        </is>
      </c>
      <c r="B38" s="112" t="inlineStr">
        <is>
          <t>Nuvalent, Inc.</t>
        </is>
      </c>
      <c r="C38" s="113" t="inlineStr">
        <is>
          <t>NASDAQ</t>
        </is>
      </c>
      <c r="D38" s="174" t="inlineStr">
        <is>
          <t>Oncology</t>
        </is>
      </c>
      <c r="E38" s="112" t="inlineStr">
        <is>
          <t>Non-small Cell Lung Cancer</t>
        </is>
      </c>
      <c r="F38" s="171" t="inlineStr">
        <is>
          <t>Small Molecule</t>
        </is>
      </c>
      <c r="G38" s="112" t="inlineStr">
        <is>
          <t>Neladalkib (NVL-655)</t>
        </is>
      </c>
      <c r="H38" s="172" t="inlineStr">
        <is>
          <t>Phase 3</t>
        </is>
      </c>
      <c r="I38" s="113" t="inlineStr">
        <is>
          <t>Dec 2029</t>
        </is>
      </c>
      <c r="J38" s="112" t="inlineStr">
        <is>
          <t>Phase 3 Readout</t>
        </is>
      </c>
      <c r="K38" s="112" t="inlineStr"/>
      <c r="L38" s="115" t="n">
        <v>7699</v>
      </c>
      <c r="M38" s="115" t="n">
        <v>1372</v>
      </c>
      <c r="N38" s="122" t="n">
        <v>71.90000000000001</v>
      </c>
      <c r="O38" s="117">
        <f>IFERROR(ROUND(M38/N38,1),"")</f>
        <v/>
      </c>
      <c r="P38" s="118">
        <f>IFERROR(IF(O38="CF+","✅ CF+",IF(O38&lt;4,"🔴 &lt;4Q",IF(O38&lt;8,"🟡 4-8Q","🟢 &gt;8Q"))),"—")</f>
        <v/>
      </c>
      <c r="Q38" s="119">
        <f>IFERROR(L38-M38,"")</f>
        <v/>
      </c>
      <c r="R38" s="120" t="n">
        <v>113.02</v>
      </c>
      <c r="S38" s="120" t="n">
        <v>55.53</v>
      </c>
      <c r="T38" s="121" t="inlineStr">
        <is>
          <t>Nuvalent, Inc., a clinical-stage biopharmaceutical company, engages in the development of therapies for patients with cancer. Its lead product candidates are Zidesamtinib (NVL-520), a novel ROS1-selec</t>
        </is>
      </c>
    </row>
    <row r="39" ht="30" customHeight="1" s="89">
      <c r="A39" s="100" t="inlineStr">
        <is>
          <t>HALO</t>
        </is>
      </c>
      <c r="B39" s="101" t="inlineStr">
        <is>
          <t>Halozyme Therapeutics, Inc.</t>
        </is>
      </c>
      <c r="C39" s="102" t="inlineStr">
        <is>
          <t>NASDAQ</t>
        </is>
      </c>
      <c r="D39" s="103" t="inlineStr"/>
      <c r="E39" s="101" t="inlineStr"/>
      <c r="F39" s="103" t="inlineStr"/>
      <c r="G39" s="101" t="inlineStr"/>
      <c r="H39" s="103" t="inlineStr"/>
      <c r="I39" s="102" t="inlineStr"/>
      <c r="J39" s="101" t="inlineStr"/>
      <c r="K39" s="101" t="inlineStr"/>
      <c r="L39" s="104" t="n">
        <v>7513</v>
      </c>
      <c r="M39" s="104" t="n">
        <v>142.8</v>
      </c>
      <c r="N39" s="105" t="n"/>
      <c r="O39" s="106" t="inlineStr">
        <is>
          <t>CF+</t>
        </is>
      </c>
      <c r="P39" s="107" t="inlineStr">
        <is>
          <t>✅ CF+</t>
        </is>
      </c>
      <c r="Q39" s="108">
        <f>IFERROR(L39-M39,"")</f>
        <v/>
      </c>
      <c r="R39" s="109" t="n">
        <v>82.22</v>
      </c>
      <c r="S39" s="109" t="n">
        <v>47.5</v>
      </c>
      <c r="T39" s="110" t="inlineStr">
        <is>
          <t>Halozyme Therapeutics, Inc., a biopharmaceutical company, researches, develops, and commercializes of proprietary enzymes and devices in the United States, Switzerland, Belgium, Japan, and internation</t>
        </is>
      </c>
    </row>
    <row r="40" ht="30" customHeight="1" s="89">
      <c r="A40" s="111" t="inlineStr">
        <is>
          <t>KRYS</t>
        </is>
      </c>
      <c r="B40" s="112" t="inlineStr">
        <is>
          <t>Krystal Biotech, Inc.</t>
        </is>
      </c>
      <c r="C40" s="113" t="inlineStr">
        <is>
          <t>NASDAQ</t>
        </is>
      </c>
      <c r="D40" s="172" t="inlineStr">
        <is>
          <t>Rare Disease</t>
        </is>
      </c>
      <c r="E40" s="112" t="inlineStr">
        <is>
          <t>Dystrophic Epidermolysis Bullosa</t>
        </is>
      </c>
      <c r="F40" s="173" t="inlineStr">
        <is>
          <t>Monoclonal Ab (mAb)</t>
        </is>
      </c>
      <c r="G40" s="112" t="inlineStr">
        <is>
          <t>KB803</t>
        </is>
      </c>
      <c r="H40" s="172" t="inlineStr">
        <is>
          <t>Phase 3</t>
        </is>
      </c>
      <c r="I40" s="113" t="inlineStr">
        <is>
          <t>Dec 2026</t>
        </is>
      </c>
      <c r="J40" s="112" t="inlineStr">
        <is>
          <t>Phase 3 Readout</t>
        </is>
      </c>
      <c r="K40" s="112" t="inlineStr"/>
      <c r="L40" s="115" t="n">
        <v>7228</v>
      </c>
      <c r="M40" s="115" t="n">
        <v>827.8</v>
      </c>
      <c r="N40" s="116" t="n"/>
      <c r="O40" s="117" t="inlineStr">
        <is>
          <t>CF+</t>
        </is>
      </c>
      <c r="P40" s="118" t="inlineStr">
        <is>
          <t>✅ CF+</t>
        </is>
      </c>
      <c r="Q40" s="119">
        <f>IFERROR(L40-M40,"")</f>
        <v/>
      </c>
      <c r="R40" s="120" t="n">
        <v>298.3</v>
      </c>
      <c r="S40" s="120" t="n">
        <v>122.8</v>
      </c>
      <c r="T40" s="121" t="inlineStr">
        <is>
          <t>Krystal Biotech, Inc., a commercial-stage biotechnology company, discovers, develops, manufactures, and commercializes genetic medicines to treat diseases with high unmet medical needs in the United S</t>
        </is>
      </c>
    </row>
    <row r="41" ht="30" customHeight="1" s="89">
      <c r="A41" s="100" t="inlineStr">
        <is>
          <t>KYMR</t>
        </is>
      </c>
      <c r="B41" s="101" t="inlineStr">
        <is>
          <t>Kymera Therapeutics, Inc.</t>
        </is>
      </c>
      <c r="C41" s="102" t="inlineStr">
        <is>
          <t>NGM</t>
        </is>
      </c>
      <c r="D41" s="174" t="inlineStr">
        <is>
          <t>Oncology</t>
        </is>
      </c>
      <c r="E41" s="101" t="inlineStr">
        <is>
          <t>Atopic Dermatitis</t>
        </is>
      </c>
      <c r="F41" s="171" t="inlineStr">
        <is>
          <t>Small Molecule</t>
        </is>
      </c>
      <c r="G41" s="101" t="inlineStr">
        <is>
          <t>KT-621</t>
        </is>
      </c>
      <c r="H41" s="168" t="inlineStr">
        <is>
          <t>Phase 2</t>
        </is>
      </c>
      <c r="I41" s="102" t="inlineStr">
        <is>
          <t>Jun 2027</t>
        </is>
      </c>
      <c r="J41" s="101" t="inlineStr">
        <is>
          <t>Phase 2 Data Readout</t>
        </is>
      </c>
      <c r="K41" s="101" t="inlineStr"/>
      <c r="L41" s="104" t="n">
        <v>6452.2</v>
      </c>
      <c r="M41" s="104" t="n">
        <v>848.3</v>
      </c>
      <c r="N41" s="123" t="n">
        <v>46.9</v>
      </c>
      <c r="O41" s="106">
        <f>IFERROR(ROUND(M41/N41,1),"")</f>
        <v/>
      </c>
      <c r="P41" s="107">
        <f>IFERROR(IF(O41="CF+","✅ CF+",IF(O41&lt;4,"🔴 &lt;4Q",IF(O41&lt;8,"🟡 4-8Q","🟢 &gt;8Q"))),"—")</f>
        <v/>
      </c>
      <c r="Q41" s="108">
        <f>IFERROR(L41-M41,"")</f>
        <v/>
      </c>
      <c r="R41" s="109" t="n">
        <v>103</v>
      </c>
      <c r="S41" s="109" t="n">
        <v>19.45</v>
      </c>
      <c r="T41" s="110" t="inlineStr">
        <is>
          <t>Kymera Therapeutics, Inc., a clinical-stage biopharmaceutical company, focuses on discovering and developing small molecule therapeutics that selectively degrade disease-causing proteins by harnessing</t>
        </is>
      </c>
    </row>
    <row r="42" ht="30" customHeight="1" s="89">
      <c r="A42" s="111" t="inlineStr">
        <is>
          <t>GRFS</t>
        </is>
      </c>
      <c r="B42" s="112" t="inlineStr">
        <is>
          <t>Grifols, S.A.</t>
        </is>
      </c>
      <c r="C42" s="113" t="inlineStr">
        <is>
          <t>NASDAQ (ADR)</t>
        </is>
      </c>
      <c r="D42" s="170" t="inlineStr">
        <is>
          <t>Infectious Disease</t>
        </is>
      </c>
      <c r="E42" s="112" t="inlineStr">
        <is>
          <t>Hepatitis B</t>
        </is>
      </c>
      <c r="F42" s="171" t="inlineStr">
        <is>
          <t>Small Molecule</t>
        </is>
      </c>
      <c r="G42" s="112" t="inlineStr">
        <is>
          <t>Hepatitis B immune globulin</t>
        </is>
      </c>
      <c r="H42" s="172" t="inlineStr">
        <is>
          <t>Phase 3</t>
        </is>
      </c>
      <c r="I42" s="113" t="inlineStr">
        <is>
          <t>Jun 2014</t>
        </is>
      </c>
      <c r="J42" s="112" t="inlineStr">
        <is>
          <t>Phase 3 Data Readout</t>
        </is>
      </c>
      <c r="K42" s="112" t="inlineStr"/>
      <c r="L42" s="115" t="n">
        <v>6414.5</v>
      </c>
      <c r="M42" s="115" t="n">
        <v>849</v>
      </c>
      <c r="N42" s="116" t="n"/>
      <c r="O42" s="117" t="inlineStr">
        <is>
          <t>CF+</t>
        </is>
      </c>
      <c r="P42" s="118" t="inlineStr">
        <is>
          <t>✅ CF+</t>
        </is>
      </c>
      <c r="Q42" s="119">
        <f>IFERROR(L42-M42,"")</f>
        <v/>
      </c>
      <c r="R42" s="120" t="n">
        <v>11.14</v>
      </c>
      <c r="S42" s="120" t="n">
        <v>6.19</v>
      </c>
      <c r="T42" s="121" t="inlineStr">
        <is>
          <t>Grifols, S.A., together with its subsidiaries, engages in the research, development, production, and marketing of plasma-derived medicines in the United States, Canada, Spain, Europe, and internationa</t>
        </is>
      </c>
    </row>
    <row r="43" ht="30" customHeight="1" s="89">
      <c r="A43" s="100" t="inlineStr">
        <is>
          <t>RYTM</t>
        </is>
      </c>
      <c r="B43" s="101" t="inlineStr">
        <is>
          <t>Rhythm Pharmaceuticals, Inc.</t>
        </is>
      </c>
      <c r="C43" s="102" t="inlineStr">
        <is>
          <t>NGM</t>
        </is>
      </c>
      <c r="D43" s="168" t="inlineStr">
        <is>
          <t>Cardiometabolic</t>
        </is>
      </c>
      <c r="E43" s="101" t="inlineStr">
        <is>
          <t>Hypothalamic Obesity</t>
        </is>
      </c>
      <c r="F43" s="171" t="inlineStr">
        <is>
          <t>Small Molecule</t>
        </is>
      </c>
      <c r="G43" s="101" t="inlineStr">
        <is>
          <t>Setmelanotide</t>
        </is>
      </c>
      <c r="H43" s="172" t="inlineStr">
        <is>
          <t>Phase 3</t>
        </is>
      </c>
      <c r="I43" s="102" t="inlineStr">
        <is>
          <t>Mar 2027</t>
        </is>
      </c>
      <c r="J43" s="101" t="inlineStr">
        <is>
          <t>Commercial / Label Expansion</t>
        </is>
      </c>
      <c r="K43" s="101" t="inlineStr"/>
      <c r="L43" s="104" t="n">
        <v>5966.7</v>
      </c>
      <c r="M43" s="104" t="n">
        <v>388.9</v>
      </c>
      <c r="N43" s="123" t="n">
        <v>26</v>
      </c>
      <c r="O43" s="106">
        <f>IFERROR(ROUND(M43/N43,1),"")</f>
        <v/>
      </c>
      <c r="P43" s="107">
        <f>IFERROR(IF(O43="CF+","✅ CF+",IF(O43&lt;4,"🔴 &lt;4Q",IF(O43&lt;8,"🟡 4-8Q","🟢 &gt;8Q"))),"—")</f>
        <v/>
      </c>
      <c r="Q43" s="108">
        <f>IFERROR(L43-M43,"")</f>
        <v/>
      </c>
      <c r="R43" s="109" t="n">
        <v>122.2</v>
      </c>
      <c r="S43" s="109" t="n">
        <v>45.91</v>
      </c>
      <c r="T43" s="110" t="inlineStr">
        <is>
          <t>Rhythm Pharmaceuticals, Inc., a commercial-stage biopharmaceutical company, focuses on the rare neuroendocrine diseases in the United States and internationally. The company's lead product candidate i</t>
        </is>
      </c>
    </row>
    <row r="44" ht="30" customHeight="1" s="89">
      <c r="A44" s="111" t="inlineStr">
        <is>
          <t>PTGX</t>
        </is>
      </c>
      <c r="B44" s="112" t="inlineStr">
        <is>
          <t>Protagonist Therapeutics, Inc.</t>
        </is>
      </c>
      <c r="C44" s="113" t="inlineStr">
        <is>
          <t>NGM</t>
        </is>
      </c>
      <c r="D44" s="174" t="inlineStr">
        <is>
          <t>Oncology</t>
        </is>
      </c>
      <c r="E44" s="112" t="inlineStr">
        <is>
          <t>Polycythemia Vera</t>
        </is>
      </c>
      <c r="F44" s="171" t="inlineStr">
        <is>
          <t>Small Molecule</t>
        </is>
      </c>
      <c r="G44" s="112" t="inlineStr">
        <is>
          <t>Rusfertide</t>
        </is>
      </c>
      <c r="H44" s="172" t="inlineStr">
        <is>
          <t>Phase 3</t>
        </is>
      </c>
      <c r="I44" s="113" t="inlineStr">
        <is>
          <t>Feb 2025</t>
        </is>
      </c>
      <c r="J44" s="112" t="inlineStr">
        <is>
          <t>Phase 3 Readout</t>
        </is>
      </c>
      <c r="K44" s="112" t="inlineStr"/>
      <c r="L44" s="115" t="n">
        <v>5893.4</v>
      </c>
      <c r="M44" s="115" t="n">
        <v>567.4</v>
      </c>
      <c r="N44" s="122" t="n">
        <v>19.5</v>
      </c>
      <c r="O44" s="117">
        <f>IFERROR(ROUND(M44/N44,1),"")</f>
        <v/>
      </c>
      <c r="P44" s="118">
        <f>IFERROR(IF(O44="CF+","✅ CF+",IF(O44&lt;4,"🔴 &lt;4Q",IF(O44&lt;8,"🟡 4-8Q","🟢 &gt;8Q"))),"—")</f>
        <v/>
      </c>
      <c r="Q44" s="119">
        <f>IFERROR(L44-M44,"")</f>
        <v/>
      </c>
      <c r="R44" s="120" t="n">
        <v>98.31999999999999</v>
      </c>
      <c r="S44" s="120" t="n">
        <v>39.6</v>
      </c>
      <c r="T44" s="121" t="inlineStr">
        <is>
          <t>Protagonist Therapeutics, Inc. operates as a discovery and development company in the United States. It develops Icotyde, a first-in-class investigational targeted oral peptide for the treatment of ad</t>
        </is>
      </c>
    </row>
    <row r="45" ht="30" customHeight="1" s="89">
      <c r="A45" s="100" t="inlineStr">
        <is>
          <t>COGT</t>
        </is>
      </c>
      <c r="B45" s="101" t="inlineStr">
        <is>
          <t>Cogent Biosciences, Inc.</t>
        </is>
      </c>
      <c r="C45" s="102" t="inlineStr">
        <is>
          <t>NASDAQ</t>
        </is>
      </c>
      <c r="D45" s="174" t="inlineStr">
        <is>
          <t>Oncology</t>
        </is>
      </c>
      <c r="E45" s="101" t="inlineStr">
        <is>
          <t>Advanced Gastrointestinal Stromal Tumors</t>
        </is>
      </c>
      <c r="F45" s="171" t="inlineStr">
        <is>
          <t>Small Molecule</t>
        </is>
      </c>
      <c r="G45" s="101" t="inlineStr">
        <is>
          <t>CGT9486 plus sunitinib</t>
        </is>
      </c>
      <c r="H45" s="172" t="inlineStr">
        <is>
          <t>Phase 3</t>
        </is>
      </c>
      <c r="I45" s="102" t="inlineStr">
        <is>
          <t>Sep 2025</t>
        </is>
      </c>
      <c r="J45" s="101" t="inlineStr">
        <is>
          <t>Phase 3 Readout</t>
        </is>
      </c>
      <c r="K45" s="101" t="inlineStr"/>
      <c r="L45" s="104" t="n">
        <v>5518.5</v>
      </c>
      <c r="M45" s="104" t="n">
        <v>900.8</v>
      </c>
      <c r="N45" s="123" t="n">
        <v>71.7</v>
      </c>
      <c r="O45" s="106">
        <f>IFERROR(ROUND(M45/N45,1),"")</f>
        <v/>
      </c>
      <c r="P45" s="107">
        <f>IFERROR(IF(O45="CF+","✅ CF+",IF(O45&lt;4,"🔴 &lt;4Q",IF(O45&lt;8,"🟡 4-8Q","🟢 &gt;8Q"))),"—")</f>
        <v/>
      </c>
      <c r="Q45" s="108">
        <f>IFERROR(L45-M45,"")</f>
        <v/>
      </c>
      <c r="R45" s="109" t="n">
        <v>43.73</v>
      </c>
      <c r="S45" s="109" t="n">
        <v>3.72</v>
      </c>
      <c r="T45" s="110" t="inlineStr">
        <is>
          <t>Cogent Biosciences, Inc., a clinical-stage biotechnology company, focuses on developing precision therapies for genetically defined diseases. Its lead product candidate includes bezuclastinib (CGT9486</t>
        </is>
      </c>
    </row>
    <row r="46" ht="30" customHeight="1" s="89">
      <c r="A46" s="111" t="inlineStr">
        <is>
          <t>MIRM</t>
        </is>
      </c>
      <c r="B46" s="112" t="inlineStr">
        <is>
          <t>Mirum Pharmaceuticals, Inc.</t>
        </is>
      </c>
      <c r="C46" s="113" t="inlineStr">
        <is>
          <t>NGM</t>
        </is>
      </c>
      <c r="D46" s="178" t="inlineStr">
        <is>
          <t>Immunology</t>
        </is>
      </c>
      <c r="E46" s="112" t="inlineStr">
        <is>
          <t>Cholestatic Liver Disease (Except ALGS, PFIC, PBC and PSC)</t>
        </is>
      </c>
      <c r="F46" s="171" t="inlineStr">
        <is>
          <t>Small Molecule</t>
        </is>
      </c>
      <c r="G46" s="112" t="inlineStr">
        <is>
          <t>Maralixibat</t>
        </is>
      </c>
      <c r="H46" s="172" t="inlineStr">
        <is>
          <t>Phase 3</t>
        </is>
      </c>
      <c r="I46" s="113" t="inlineStr">
        <is>
          <t>Oct 2026</t>
        </is>
      </c>
      <c r="J46" s="112" t="inlineStr">
        <is>
          <t>Commercial / Label Expansion</t>
        </is>
      </c>
      <c r="K46" s="112" t="inlineStr"/>
      <c r="L46" s="115" t="n">
        <v>5470.6</v>
      </c>
      <c r="M46" s="115" t="n">
        <v>383.3</v>
      </c>
      <c r="N46" s="116" t="n"/>
      <c r="O46" s="117" t="inlineStr">
        <is>
          <t>CF+</t>
        </is>
      </c>
      <c r="P46" s="118" t="inlineStr">
        <is>
          <t>✅ CF+</t>
        </is>
      </c>
      <c r="Q46" s="119">
        <f>IFERROR(L46-M46,"")</f>
        <v/>
      </c>
      <c r="R46" s="120" t="n">
        <v>109.28</v>
      </c>
      <c r="S46" s="120" t="n">
        <v>36.88</v>
      </c>
      <c r="T46" s="121" t="inlineStr">
        <is>
          <t>Mirum Pharmaceuticals, Inc., a biopharmaceutical company, focuses on the development and commercialization of novel therapies for debilitating rare and orphan diseases. Its lead product candidate is L</t>
        </is>
      </c>
    </row>
    <row r="47" ht="30" customHeight="1" s="89">
      <c r="A47" s="100" t="inlineStr">
        <is>
          <t>CGON</t>
        </is>
      </c>
      <c r="B47" s="101" t="inlineStr">
        <is>
          <t>CG Oncology, Inc.</t>
        </is>
      </c>
      <c r="C47" s="102" t="inlineStr">
        <is>
          <t>NASDAQ</t>
        </is>
      </c>
      <c r="D47" s="174" t="inlineStr">
        <is>
          <t>Oncology</t>
        </is>
      </c>
      <c r="E47" s="101" t="inlineStr">
        <is>
          <t>Non Muscle Invasive Bladder Cancer</t>
        </is>
      </c>
      <c r="F47" s="173" t="inlineStr">
        <is>
          <t>Monoclonal Ab (mAb)</t>
        </is>
      </c>
      <c r="G47" s="101" t="inlineStr">
        <is>
          <t>Cretostimogene Grenadenorepvec</t>
        </is>
      </c>
      <c r="H47" s="172" t="inlineStr">
        <is>
          <t>Phase 3</t>
        </is>
      </c>
      <c r="I47" s="102" t="inlineStr">
        <is>
          <t>Dec 2027</t>
        </is>
      </c>
      <c r="J47" s="101" t="inlineStr">
        <is>
          <t>Phase 3 Readout</t>
        </is>
      </c>
      <c r="K47" s="101" t="inlineStr"/>
      <c r="L47" s="104" t="n">
        <v>5428.3</v>
      </c>
      <c r="M47" s="104" t="n">
        <v>742.2</v>
      </c>
      <c r="N47" s="123" t="n">
        <v>37.6</v>
      </c>
      <c r="O47" s="106">
        <f>IFERROR(ROUND(M47/N47,1),"")</f>
        <v/>
      </c>
      <c r="P47" s="107">
        <f>IFERROR(IF(O47="CF+","✅ CF+",IF(O47&lt;4,"🔴 &lt;4Q",IF(O47&lt;8,"🟡 4-8Q","🟢 &gt;8Q"))),"—")</f>
        <v/>
      </c>
      <c r="Q47" s="108">
        <f>IFERROR(L47-M47,"")</f>
        <v/>
      </c>
      <c r="R47" s="109" t="n">
        <v>64.7</v>
      </c>
      <c r="S47" s="109" t="n">
        <v>14.8</v>
      </c>
      <c r="T47" s="110" t="inlineStr">
        <is>
          <t>CG Oncology, Inc., a late-stage clinical biopharmaceutical company, develops and commercializes cretostimogene grenadenorepvec for patients with bladder cancer in the United States. The company's prod</t>
        </is>
      </c>
    </row>
    <row r="48" ht="30" customHeight="1" s="89">
      <c r="A48" s="111" t="inlineStr">
        <is>
          <t>PTCT</t>
        </is>
      </c>
      <c r="B48" s="112" t="inlineStr">
        <is>
          <t>PTC Therapeutics, Inc.</t>
        </is>
      </c>
      <c r="C48" s="113" t="inlineStr">
        <is>
          <t>NASDAQ</t>
        </is>
      </c>
      <c r="D48" s="114" t="inlineStr"/>
      <c r="E48" s="112" t="inlineStr"/>
      <c r="F48" s="114" t="inlineStr"/>
      <c r="G48" s="112" t="inlineStr"/>
      <c r="H48" s="114" t="inlineStr"/>
      <c r="I48" s="113" t="inlineStr"/>
      <c r="J48" s="112" t="inlineStr"/>
      <c r="K48" s="112" t="inlineStr"/>
      <c r="L48" s="115" t="n">
        <v>5338.1</v>
      </c>
      <c r="M48" s="115" t="n">
        <v>1945.4</v>
      </c>
      <c r="N48" s="122" t="n">
        <v>50.3</v>
      </c>
      <c r="O48" s="117">
        <f>IFERROR(ROUND(M48/N48,1),"")</f>
        <v/>
      </c>
      <c r="P48" s="118">
        <f>IFERROR(IF(O48="CF+","✅ CF+",IF(O48&lt;4,"🔴 &lt;4Q",IF(O48&lt;8,"🟡 4-8Q","🟢 &gt;8Q"))),"—")</f>
        <v/>
      </c>
      <c r="Q48" s="119">
        <f>IFERROR(L48-M48,"")</f>
        <v/>
      </c>
      <c r="R48" s="120" t="n">
        <v>87.5</v>
      </c>
      <c r="S48" s="120" t="n">
        <v>35.95</v>
      </c>
      <c r="T48" s="121" t="inlineStr">
        <is>
          <t>PTC Therapeutics, Inc., a biopharmaceutical company, focuses on the discovery, development, and commercialization of medicines to children and adults living with rare disorders in the United States an</t>
        </is>
      </c>
    </row>
    <row r="49" ht="30" customHeight="1" s="89">
      <c r="A49" s="100" t="inlineStr">
        <is>
          <t>LNTH</t>
        </is>
      </c>
      <c r="B49" s="101" t="inlineStr">
        <is>
          <t>Lantheus Holdings, Inc.</t>
        </is>
      </c>
      <c r="C49" s="102" t="inlineStr">
        <is>
          <t>NGM</t>
        </is>
      </c>
      <c r="D49" s="103" t="inlineStr"/>
      <c r="E49" s="101" t="inlineStr"/>
      <c r="F49" s="103" t="inlineStr"/>
      <c r="G49" s="101" t="inlineStr"/>
      <c r="H49" s="103" t="inlineStr"/>
      <c r="I49" s="102" t="inlineStr"/>
      <c r="J49" s="101" t="inlineStr"/>
      <c r="K49" s="101" t="inlineStr"/>
      <c r="L49" s="104" t="n">
        <v>5271.1</v>
      </c>
      <c r="M49" s="104" t="n">
        <v>359.1</v>
      </c>
      <c r="N49" s="105" t="n"/>
      <c r="O49" s="106" t="inlineStr">
        <is>
          <t>CF+</t>
        </is>
      </c>
      <c r="P49" s="107" t="inlineStr">
        <is>
          <t>✅ CF+</t>
        </is>
      </c>
      <c r="Q49" s="108">
        <f>IFERROR(L49-M49,"")</f>
        <v/>
      </c>
      <c r="R49" s="109" t="n">
        <v>108.91</v>
      </c>
      <c r="S49" s="109" t="n">
        <v>47.25</v>
      </c>
      <c r="T49" s="110" t="inlineStr">
        <is>
          <t>Lantheus Holdings, Inc. develops, manufactures, and commercializes diagnostic and therapeutic products that assist clinicians in diagnosis and treatment of heart, cancer, and other diseases worldwide.</t>
        </is>
      </c>
    </row>
    <row r="50" ht="30" customHeight="1" s="89">
      <c r="A50" s="111" t="inlineStr">
        <is>
          <t>IMVT</t>
        </is>
      </c>
      <c r="B50" s="112" t="inlineStr">
        <is>
          <t>Immunovant, Inc.</t>
        </is>
      </c>
      <c r="C50" s="113" t="inlineStr">
        <is>
          <t>NASDAQ</t>
        </is>
      </c>
      <c r="D50" s="114" t="inlineStr"/>
      <c r="E50" s="112" t="inlineStr"/>
      <c r="F50" s="114" t="inlineStr"/>
      <c r="G50" s="112" t="inlineStr"/>
      <c r="H50" s="114" t="inlineStr"/>
      <c r="I50" s="113" t="inlineStr"/>
      <c r="J50" s="112" t="inlineStr"/>
      <c r="K50" s="112" t="inlineStr"/>
      <c r="L50" s="115" t="n">
        <v>4968.2</v>
      </c>
      <c r="M50" s="115" t="n">
        <v>994.5</v>
      </c>
      <c r="N50" s="122" t="n">
        <v>97.40000000000001</v>
      </c>
      <c r="O50" s="117">
        <f>IFERROR(ROUND(M50/N50,1),"")</f>
        <v/>
      </c>
      <c r="P50" s="118">
        <f>IFERROR(IF(O50="CF+","✅ CF+",IF(O50&lt;4,"🔴 &lt;4Q",IF(O50&lt;8,"🟡 4-8Q","🟢 &gt;8Q"))),"—")</f>
        <v/>
      </c>
      <c r="Q50" s="119">
        <f>IFERROR(L50-M50,"")</f>
        <v/>
      </c>
      <c r="R50" s="120" t="n">
        <v>29.25</v>
      </c>
      <c r="S50" s="120" t="n">
        <v>12.72</v>
      </c>
      <c r="T50" s="121" t="inlineStr">
        <is>
          <t>Immunovant, Inc., a clinical-stage immunology company, develops monoclonal antibodies for the treatment of autoimmune diseases. It develops IMVT-1402 for graves' disease, rheumatoid arthritis, myasthe</t>
        </is>
      </c>
    </row>
    <row r="51" ht="30" customHeight="1" s="89">
      <c r="A51" s="100" t="inlineStr">
        <is>
          <t>APGE</t>
        </is>
      </c>
      <c r="B51" s="101" t="inlineStr">
        <is>
          <t>Apogee Therapeutics, Inc.</t>
        </is>
      </c>
      <c r="C51" s="102" t="inlineStr">
        <is>
          <t>NGM</t>
        </is>
      </c>
      <c r="D51" s="178" t="inlineStr">
        <is>
          <t>Immunology</t>
        </is>
      </c>
      <c r="E51" s="101" t="inlineStr">
        <is>
          <t>Atopic Dermatitis</t>
        </is>
      </c>
      <c r="F51" s="171" t="inlineStr">
        <is>
          <t>Small Molecule</t>
        </is>
      </c>
      <c r="G51" s="101" t="inlineStr">
        <is>
          <t>APG777</t>
        </is>
      </c>
      <c r="H51" s="168" t="inlineStr">
        <is>
          <t>Phase 2</t>
        </is>
      </c>
      <c r="I51" s="102" t="inlineStr">
        <is>
          <t>Dec 2029</t>
        </is>
      </c>
      <c r="J51" s="101" t="inlineStr">
        <is>
          <t>Phase 2 Data Readout</t>
        </is>
      </c>
      <c r="K51" s="101" t="inlineStr"/>
      <c r="L51" s="104" t="n">
        <v>4950.1</v>
      </c>
      <c r="M51" s="104" t="n">
        <v>730.2</v>
      </c>
      <c r="N51" s="123" t="n">
        <v>58.5</v>
      </c>
      <c r="O51" s="106">
        <f>IFERROR(ROUND(M51/N51,1),"")</f>
        <v/>
      </c>
      <c r="P51" s="107">
        <f>IFERROR(IF(O51="CF+","✅ CF+",IF(O51&lt;4,"🔴 &lt;4Q",IF(O51&lt;8,"🟡 4-8Q","🟢 &gt;8Q"))),"—")</f>
        <v/>
      </c>
      <c r="Q51" s="108">
        <f>IFERROR(L51-M51,"")</f>
        <v/>
      </c>
      <c r="R51" s="109" t="n">
        <v>84.56</v>
      </c>
      <c r="S51" s="109" t="n">
        <v>26.2</v>
      </c>
      <c r="T51" s="110" t="inlineStr">
        <is>
          <t>Apogee Therapeutics, Inc., a clinical stage biotechnology company, develops novel biologics for the treatment of atopic dermatitis, asthma, eosinophilic esophagitis, chronic obstructive pulmonary dise</t>
        </is>
      </c>
    </row>
    <row r="52" ht="30" customHeight="1" s="89">
      <c r="A52" s="111" t="inlineStr">
        <is>
          <t>AVAL</t>
        </is>
      </c>
      <c r="B52" s="112" t="inlineStr">
        <is>
          <t>Grupo Aval Acciones y Valores S.A.</t>
        </is>
      </c>
      <c r="C52" s="113" t="inlineStr">
        <is>
          <t>NYSE (ADR)</t>
        </is>
      </c>
      <c r="D52" s="114" t="inlineStr"/>
      <c r="E52" s="112" t="inlineStr"/>
      <c r="F52" s="114" t="inlineStr"/>
      <c r="G52" s="112" t="inlineStr"/>
      <c r="H52" s="114" t="inlineStr"/>
      <c r="I52" s="113" t="inlineStr"/>
      <c r="J52" s="112" t="inlineStr"/>
      <c r="K52" s="112" t="inlineStr"/>
      <c r="L52" s="115" t="n">
        <v>4691.2</v>
      </c>
      <c r="M52" s="115" t="n"/>
      <c r="N52" s="116" t="n"/>
      <c r="O52" s="117" t="inlineStr"/>
      <c r="P52" s="118" t="inlineStr"/>
      <c r="Q52" s="119">
        <f>IFERROR(L52-M52,"")</f>
        <v/>
      </c>
      <c r="R52" s="120" t="n">
        <v>5.28</v>
      </c>
      <c r="S52" s="120" t="n">
        <v>2.25</v>
      </c>
      <c r="T52" s="121" t="inlineStr">
        <is>
          <t>Grupo Aval Acciones y Valores S.A. provides a range of financial services and products in Colombia and Central America. The company offers traditional deposit services and products, including checking</t>
        </is>
      </c>
    </row>
    <row r="53" ht="30" customHeight="1" s="89">
      <c r="A53" s="100" t="inlineStr">
        <is>
          <t>CRSP</t>
        </is>
      </c>
      <c r="B53" s="101" t="inlineStr">
        <is>
          <t>CRISPR Therapeutics AG</t>
        </is>
      </c>
      <c r="C53" s="102" t="inlineStr">
        <is>
          <t>NGM (ADR)</t>
        </is>
      </c>
      <c r="D53" s="178" t="inlineStr">
        <is>
          <t>Immunology</t>
        </is>
      </c>
      <c r="E53" s="101" t="inlineStr">
        <is>
          <t>Diabetes Mellitus</t>
        </is>
      </c>
      <c r="F53" s="171" t="inlineStr">
        <is>
          <t>Small Molecule</t>
        </is>
      </c>
      <c r="G53" s="101" t="inlineStr">
        <is>
          <t>VCTX211</t>
        </is>
      </c>
      <c r="H53" s="176" t="inlineStr">
        <is>
          <t>Phase 1/2</t>
        </is>
      </c>
      <c r="I53" s="102" t="inlineStr">
        <is>
          <t>Apr 2025</t>
        </is>
      </c>
      <c r="J53" s="101" t="inlineStr">
        <is>
          <t>Phase 1/2 Data Readout</t>
        </is>
      </c>
      <c r="K53" s="101" t="inlineStr">
        <is>
          <t>ViaCyte</t>
        </is>
      </c>
      <c r="L53" s="104" t="n">
        <v>4679.3</v>
      </c>
      <c r="M53" s="104" t="n">
        <v>1975.8</v>
      </c>
      <c r="N53" s="123" t="n">
        <v>88.59999999999999</v>
      </c>
      <c r="O53" s="106">
        <f>IFERROR(ROUND(M53/N53,1),"")</f>
        <v/>
      </c>
      <c r="P53" s="107">
        <f>IFERROR(IF(O53="CF+","✅ CF+",IF(O53&lt;4,"🔴 &lt;4Q",IF(O53&lt;8,"🟡 4-8Q","🟢 &gt;8Q"))),"—")</f>
        <v/>
      </c>
      <c r="Q53" s="108">
        <f>IFERROR(L53-M53,"")</f>
        <v/>
      </c>
      <c r="R53" s="109" t="n">
        <v>78.48</v>
      </c>
      <c r="S53" s="109" t="n">
        <v>30.04</v>
      </c>
      <c r="T53" s="110" t="inlineStr">
        <is>
          <t>CRISPR Therapeutics AG, a gene editing company, focuses on developing gene-based medicines for serious human diseases using its Clustered Regularly Interspaced Short Palindromic Repeats (CRISPR)/CRISP</t>
        </is>
      </c>
    </row>
    <row r="54" ht="30" customHeight="1" s="89">
      <c r="A54" s="111" t="inlineStr">
        <is>
          <t>ALKS</t>
        </is>
      </c>
      <c r="B54" s="112" t="inlineStr">
        <is>
          <t>Alkermes plc</t>
        </is>
      </c>
      <c r="C54" s="113" t="inlineStr">
        <is>
          <t>NASDAQ (ADR)</t>
        </is>
      </c>
      <c r="D54" s="114" t="inlineStr"/>
      <c r="E54" s="112" t="inlineStr"/>
      <c r="F54" s="114" t="inlineStr"/>
      <c r="G54" s="112" t="inlineStr"/>
      <c r="H54" s="114" t="inlineStr"/>
      <c r="I54" s="113" t="inlineStr"/>
      <c r="J54" s="112" t="inlineStr"/>
      <c r="K54" s="112" t="inlineStr"/>
      <c r="L54" s="115" t="n">
        <v>4626.2</v>
      </c>
      <c r="M54" s="115" t="n">
        <v>588.2</v>
      </c>
      <c r="N54" s="116" t="n"/>
      <c r="O54" s="117" t="inlineStr">
        <is>
          <t>CF+</t>
        </is>
      </c>
      <c r="P54" s="118" t="inlineStr">
        <is>
          <t>✅ CF+</t>
        </is>
      </c>
      <c r="Q54" s="119">
        <f>IFERROR(L54-M54,"")</f>
        <v/>
      </c>
      <c r="R54" s="120" t="n">
        <v>36.32</v>
      </c>
      <c r="S54" s="120" t="n">
        <v>25.17</v>
      </c>
      <c r="T54" s="121" t="inlineStr">
        <is>
          <t>Alkermes plc, a biopharmaceutical company, engages in the research, development, and commercialization of pharmaceutical products to address unmet medical needs of patients in therapeutic areas in the</t>
        </is>
      </c>
    </row>
    <row r="55" ht="30" customHeight="1" s="89">
      <c r="A55" s="100" t="inlineStr">
        <is>
          <t>XENE</t>
        </is>
      </c>
      <c r="B55" s="101" t="inlineStr">
        <is>
          <t>Xenon Pharmaceuticals Inc.</t>
        </is>
      </c>
      <c r="C55" s="102" t="inlineStr">
        <is>
          <t>NGM (ADR)</t>
        </is>
      </c>
      <c r="D55" s="177" t="inlineStr">
        <is>
          <t>CNS</t>
        </is>
      </c>
      <c r="E55" s="101" t="inlineStr">
        <is>
          <t>Focal Onset Seizures</t>
        </is>
      </c>
      <c r="F55" s="171" t="inlineStr">
        <is>
          <t>Small Molecule</t>
        </is>
      </c>
      <c r="G55" s="101" t="inlineStr">
        <is>
          <t>XEN1101</t>
        </is>
      </c>
      <c r="H55" s="172" t="inlineStr">
        <is>
          <t>Phase 3</t>
        </is>
      </c>
      <c r="I55" s="102" t="inlineStr">
        <is>
          <t>Oct 2026</t>
        </is>
      </c>
      <c r="J55" s="101" t="inlineStr">
        <is>
          <t>Phase 3 Readout</t>
        </is>
      </c>
      <c r="K55" s="101" t="inlineStr">
        <is>
          <t>Worldwide Clinical Trials</t>
        </is>
      </c>
      <c r="L55" s="104" t="n">
        <v>4594.6</v>
      </c>
      <c r="M55" s="104" t="n">
        <v>548.9</v>
      </c>
      <c r="N55" s="123" t="n">
        <v>76.59999999999999</v>
      </c>
      <c r="O55" s="106">
        <f>IFERROR(ROUND(M55/N55,1),"")</f>
        <v/>
      </c>
      <c r="P55" s="107">
        <f>IFERROR(IF(O55="CF+","✅ CF+",IF(O55&lt;4,"🔴 &lt;4Q",IF(O55&lt;8,"🟡 4-8Q","🟢 &gt;8Q"))),"—")</f>
        <v/>
      </c>
      <c r="Q55" s="108">
        <f>IFERROR(L55-M55,"")</f>
        <v/>
      </c>
      <c r="R55" s="109" t="n">
        <v>63.95</v>
      </c>
      <c r="S55" s="109" t="n">
        <v>26.74</v>
      </c>
      <c r="T55" s="110" t="inlineStr">
        <is>
          <t>Xenon Pharmaceuticals Inc., a neuroscience-focused biopharmaceutical company, engages in the discovery, development, and delivery of therapeutics to treat patients with neurological and psychiatric di</t>
        </is>
      </c>
    </row>
    <row r="56" ht="30" customHeight="1" s="89">
      <c r="A56" s="111" t="inlineStr">
        <is>
          <t>FOLD</t>
        </is>
      </c>
      <c r="B56" s="112" t="inlineStr">
        <is>
          <t>Amicus Therapeutics, Inc.</t>
        </is>
      </c>
      <c r="C56" s="113" t="inlineStr">
        <is>
          <t>NGM</t>
        </is>
      </c>
      <c r="D56" s="172" t="inlineStr">
        <is>
          <t>Rare Disease</t>
        </is>
      </c>
      <c r="E56" s="112" t="inlineStr">
        <is>
          <t>Epidermolysis Bullosa</t>
        </is>
      </c>
      <c r="F56" s="171" t="inlineStr">
        <is>
          <t>Small Molecule</t>
        </is>
      </c>
      <c r="G56" s="112" t="inlineStr">
        <is>
          <t>SD-101-6.0 cream</t>
        </is>
      </c>
      <c r="H56" s="172" t="inlineStr">
        <is>
          <t>Phase 3</t>
        </is>
      </c>
      <c r="I56" s="113" t="inlineStr">
        <is>
          <t>Jul 2017</t>
        </is>
      </c>
      <c r="J56" s="112" t="inlineStr">
        <is>
          <t>Phase 3 Data Readout</t>
        </is>
      </c>
      <c r="K56" s="112" t="inlineStr">
        <is>
          <t>Amicus Therapeutics</t>
        </is>
      </c>
      <c r="L56" s="115" t="n">
        <v>4512.2</v>
      </c>
      <c r="M56" s="115" t="n">
        <v>293.5</v>
      </c>
      <c r="N56" s="116" t="n"/>
      <c r="O56" s="117" t="inlineStr">
        <is>
          <t>CF+</t>
        </is>
      </c>
      <c r="P56" s="118" t="inlineStr">
        <is>
          <t>✅ CF+</t>
        </is>
      </c>
      <c r="Q56" s="119">
        <f>IFERROR(L56-M56,"")</f>
        <v/>
      </c>
      <c r="R56" s="120" t="n">
        <v>14.39</v>
      </c>
      <c r="S56" s="120" t="n">
        <v>5.51</v>
      </c>
      <c r="T56" s="121" t="inlineStr">
        <is>
          <t>Amicus Therapeutics, Inc., a biotechnology company, focuses on discovering, developing, and delivering novel medicines for rare diseases in the United States and internationally. The company's commerc</t>
        </is>
      </c>
    </row>
    <row r="57" ht="30" customHeight="1" s="89">
      <c r="A57" s="100" t="inlineStr">
        <is>
          <t>TGTX</t>
        </is>
      </c>
      <c r="B57" s="101" t="inlineStr">
        <is>
          <t>TG Therapeutics, Inc.</t>
        </is>
      </c>
      <c r="C57" s="102" t="inlineStr">
        <is>
          <t>NASDAQ</t>
        </is>
      </c>
      <c r="D57" s="177" t="inlineStr">
        <is>
          <t>CNS</t>
        </is>
      </c>
      <c r="E57" s="101" t="inlineStr">
        <is>
          <t>Relapsing Multiple Sclerosis</t>
        </is>
      </c>
      <c r="F57" s="173" t="inlineStr">
        <is>
          <t>Monoclonal Ab (mAb)</t>
        </is>
      </c>
      <c r="G57" s="101" t="inlineStr">
        <is>
          <t>Ublituximab</t>
        </is>
      </c>
      <c r="H57" s="172" t="inlineStr">
        <is>
          <t>Phase 3</t>
        </is>
      </c>
      <c r="I57" s="102" t="inlineStr">
        <is>
          <t>Dec 2026</t>
        </is>
      </c>
      <c r="J57" s="101" t="inlineStr">
        <is>
          <t>Phase 3 Readout</t>
        </is>
      </c>
      <c r="K57" s="101" t="inlineStr"/>
      <c r="L57" s="104" t="n">
        <v>4464.9</v>
      </c>
      <c r="M57" s="104" t="n">
        <v>142</v>
      </c>
      <c r="N57" s="123" t="n">
        <v>1.7</v>
      </c>
      <c r="O57" s="106">
        <f>IFERROR(ROUND(M57/N57,1),"")</f>
        <v/>
      </c>
      <c r="P57" s="107">
        <f>IFERROR(IF(O57="CF+","✅ CF+",IF(O57&lt;4,"🔴 &lt;4Q",IF(O57&lt;8,"🟡 4-8Q","🟢 &gt;8Q"))),"—")</f>
        <v/>
      </c>
      <c r="Q57" s="108">
        <f>IFERROR(L57-M57,"")</f>
        <v/>
      </c>
      <c r="R57" s="109" t="n">
        <v>46.48</v>
      </c>
      <c r="S57" s="109" t="n">
        <v>25.28</v>
      </c>
      <c r="T57" s="110" t="inlineStr">
        <is>
          <t>TG Therapeutics, Inc., a commercial stage biopharmaceutical company, focuses on the acquisition, development, and commercialization of novel treatments for B-cell mediated diseases in the United State</t>
        </is>
      </c>
    </row>
    <row r="58" ht="30" customHeight="1" s="89">
      <c r="A58" s="111" t="inlineStr">
        <is>
          <t>MMSI</t>
        </is>
      </c>
      <c r="B58" s="112" t="inlineStr">
        <is>
          <t>Merit Medical Systems, Inc.</t>
        </is>
      </c>
      <c r="C58" s="113" t="inlineStr">
        <is>
          <t>NASDAQ</t>
        </is>
      </c>
      <c r="D58" s="174" t="inlineStr">
        <is>
          <t>Oncology</t>
        </is>
      </c>
      <c r="E58" s="112" t="inlineStr">
        <is>
          <t>Patent Ductus Arteriosus (PDA)</t>
        </is>
      </c>
      <c r="F58" s="171" t="inlineStr">
        <is>
          <t>Small Molecule</t>
        </is>
      </c>
      <c r="G58" s="112" t="inlineStr">
        <is>
          <t>Corticosteroid injection</t>
        </is>
      </c>
      <c r="H58" s="169" t="inlineStr">
        <is>
          <t>Preclinical</t>
        </is>
      </c>
      <c r="I58" s="113" t="inlineStr">
        <is>
          <t>Aug 2026</t>
        </is>
      </c>
      <c r="J58" s="112" t="inlineStr">
        <is>
          <t>Commercial / Label Expansion</t>
        </is>
      </c>
      <c r="K58" s="112" t="inlineStr"/>
      <c r="L58" s="115" t="n">
        <v>4157.3</v>
      </c>
      <c r="M58" s="115" t="n">
        <v>446.4</v>
      </c>
      <c r="N58" s="116" t="n"/>
      <c r="O58" s="117" t="inlineStr">
        <is>
          <t>CF+</t>
        </is>
      </c>
      <c r="P58" s="118" t="inlineStr">
        <is>
          <t>✅ CF+</t>
        </is>
      </c>
      <c r="Q58" s="119">
        <f>IFERROR(L58-M58,"")</f>
        <v/>
      </c>
      <c r="R58" s="120" t="n">
        <v>107.27</v>
      </c>
      <c r="S58" s="120" t="n">
        <v>67.42</v>
      </c>
      <c r="T58" s="121" t="inlineStr">
        <is>
          <t>Merit Medical Systems, Inc. designs, develops, manufactures, and markets single-use medical products for interventional, diagnostic, and therapeutic procedures in the United States, China, Japan, Germ</t>
        </is>
      </c>
    </row>
    <row r="59" ht="30" customHeight="1" s="89">
      <c r="A59" s="100" t="inlineStr">
        <is>
          <t>VKTX</t>
        </is>
      </c>
      <c r="B59" s="101" t="inlineStr">
        <is>
          <t>Viking Therapeutics, Inc.</t>
        </is>
      </c>
      <c r="C59" s="102" t="inlineStr">
        <is>
          <t>NASDAQ</t>
        </is>
      </c>
      <c r="D59" s="168" t="inlineStr">
        <is>
          <t>Cardiometabolic</t>
        </is>
      </c>
      <c r="E59" s="101" t="inlineStr">
        <is>
          <t>Weight Loss</t>
        </is>
      </c>
      <c r="F59" s="171" t="inlineStr">
        <is>
          <t>Small Molecule</t>
        </is>
      </c>
      <c r="G59" s="101" t="inlineStr">
        <is>
          <t>VK2735</t>
        </is>
      </c>
      <c r="H59" s="172" t="inlineStr">
        <is>
          <t>Phase 3</t>
        </is>
      </c>
      <c r="I59" s="102" t="inlineStr">
        <is>
          <t>Jul 2027</t>
        </is>
      </c>
      <c r="J59" s="101" t="inlineStr">
        <is>
          <t>Phase 3 Readout</t>
        </is>
      </c>
      <c r="K59" s="101" t="inlineStr"/>
      <c r="L59" s="104" t="n">
        <v>4117.2</v>
      </c>
      <c r="M59" s="104" t="n">
        <v>705.7</v>
      </c>
      <c r="N59" s="123" t="n">
        <v>89.59999999999999</v>
      </c>
      <c r="O59" s="106">
        <f>IFERROR(ROUND(M59/N59,1),"")</f>
        <v/>
      </c>
      <c r="P59" s="107">
        <f>IFERROR(IF(O59="CF+","✅ CF+",IF(O59&lt;4,"🔴 &lt;4Q",IF(O59&lt;8,"🟡 4-8Q","🟢 &gt;8Q"))),"—")</f>
        <v/>
      </c>
      <c r="Q59" s="108">
        <f>IFERROR(L59-M59,"")</f>
        <v/>
      </c>
      <c r="R59" s="109" t="n">
        <v>43.15</v>
      </c>
      <c r="S59" s="109" t="n">
        <v>18.92</v>
      </c>
      <c r="T59" s="110" t="inlineStr">
        <is>
          <t>Viking Therapeutics, Inc., a clinical-stage biopharmaceutical company, focuses on the development of novel therapies for metabolic and endocrine disorders. Its lead drug candidate is VK2809, an orally</t>
        </is>
      </c>
    </row>
    <row r="60" ht="30" customHeight="1" s="89">
      <c r="A60" s="111" t="inlineStr">
        <is>
          <t>STVN</t>
        </is>
      </c>
      <c r="B60" s="112" t="inlineStr">
        <is>
          <t>Stevanato Group S.p.A.</t>
        </is>
      </c>
      <c r="C60" s="113" t="inlineStr">
        <is>
          <t>NYSE (ADR)</t>
        </is>
      </c>
      <c r="D60" s="114" t="inlineStr"/>
      <c r="E60" s="112" t="inlineStr"/>
      <c r="F60" s="114" t="inlineStr"/>
      <c r="G60" s="112" t="inlineStr"/>
      <c r="H60" s="114" t="inlineStr"/>
      <c r="I60" s="113" t="inlineStr"/>
      <c r="J60" s="112" t="inlineStr"/>
      <c r="K60" s="112" t="inlineStr"/>
      <c r="L60" s="115" t="n">
        <v>4092.3</v>
      </c>
      <c r="M60" s="115" t="n">
        <v>132.4</v>
      </c>
      <c r="N60" s="116" t="n"/>
      <c r="O60" s="117" t="inlineStr">
        <is>
          <t>CF+</t>
        </is>
      </c>
      <c r="P60" s="118" t="inlineStr">
        <is>
          <t>✅ CF+</t>
        </is>
      </c>
      <c r="Q60" s="119">
        <f>IFERROR(L60-M60,"")</f>
        <v/>
      </c>
      <c r="R60" s="120" t="n">
        <v>28</v>
      </c>
      <c r="S60" s="120" t="n">
        <v>13.91</v>
      </c>
      <c r="T60" s="121" t="inlineStr">
        <is>
          <t>Stevanato Group S.p.A. engages in the design, production, and distribution of products and processes to provide solutions for biopharma and healthcare industries in Europe, the Middle East, Africa, No</t>
        </is>
      </c>
    </row>
    <row r="61" ht="30" customHeight="1" s="89">
      <c r="A61" s="100" t="inlineStr">
        <is>
          <t>LGND</t>
        </is>
      </c>
      <c r="B61" s="101" t="inlineStr">
        <is>
          <t>Ligand Pharmaceuticals Incorporated</t>
        </is>
      </c>
      <c r="C61" s="102" t="inlineStr">
        <is>
          <t>NGM</t>
        </is>
      </c>
      <c r="D61" s="103" t="inlineStr"/>
      <c r="E61" s="101" t="inlineStr"/>
      <c r="F61" s="103" t="inlineStr"/>
      <c r="G61" s="101" t="inlineStr"/>
      <c r="H61" s="103" t="inlineStr"/>
      <c r="I61" s="102" t="inlineStr"/>
      <c r="J61" s="101" t="inlineStr"/>
      <c r="K61" s="101" t="inlineStr"/>
      <c r="L61" s="104" t="n">
        <v>4046.3</v>
      </c>
      <c r="M61" s="104" t="n">
        <v>733.5</v>
      </c>
      <c r="N61" s="105" t="n"/>
      <c r="O61" s="106" t="inlineStr">
        <is>
          <t>CF+</t>
        </is>
      </c>
      <c r="P61" s="107" t="inlineStr">
        <is>
          <t>✅ CF+</t>
        </is>
      </c>
      <c r="Q61" s="108">
        <f>IFERROR(L61-M61,"")</f>
        <v/>
      </c>
      <c r="R61" s="109" t="n">
        <v>227.92</v>
      </c>
      <c r="S61" s="109" t="n">
        <v>93.58</v>
      </c>
      <c r="T61" s="110" t="inlineStr">
        <is>
          <t>Ligand Pharmaceuticals Incorporated, a biopharmaceutical company, develops and licenses biopharmaceutical assets worldwide. It offers Pradefovir, Posaconazole, Voriconazole, CAPVAXIVE, NOXAFIL, MenFiv</t>
        </is>
      </c>
    </row>
    <row r="62" ht="30" customHeight="1" s="89">
      <c r="A62" s="111" t="inlineStr">
        <is>
          <t>ADMA</t>
        </is>
      </c>
      <c r="B62" s="112" t="inlineStr">
        <is>
          <t>ADMA Biologics, Inc.</t>
        </is>
      </c>
      <c r="C62" s="113" t="inlineStr">
        <is>
          <t>NGM</t>
        </is>
      </c>
      <c r="D62" s="170" t="inlineStr">
        <is>
          <t>Infectious Disease</t>
        </is>
      </c>
      <c r="E62" s="112" t="inlineStr">
        <is>
          <t>Primary Immune Deficiency Disorders (PIDD)</t>
        </is>
      </c>
      <c r="F62" s="173" t="inlineStr">
        <is>
          <t>Monoclonal Ab (mAb)</t>
        </is>
      </c>
      <c r="G62" s="112" t="inlineStr">
        <is>
          <t>Nabi-IGIV 10% [Immune Globulin Intravenous (Human). 10%]</t>
        </is>
      </c>
      <c r="H62" s="172" t="inlineStr">
        <is>
          <t>Phase 3</t>
        </is>
      </c>
      <c r="I62" s="113" t="inlineStr">
        <is>
          <t>Jul 2009</t>
        </is>
      </c>
      <c r="J62" s="112" t="inlineStr">
        <is>
          <t>Phase 3 Data Readout</t>
        </is>
      </c>
      <c r="K62" s="112" t="inlineStr"/>
      <c r="L62" s="115" t="n">
        <v>3608.1</v>
      </c>
      <c r="M62" s="115" t="n">
        <v>87.59999999999999</v>
      </c>
      <c r="N62" s="116" t="n"/>
      <c r="O62" s="117" t="inlineStr">
        <is>
          <t>CF+</t>
        </is>
      </c>
      <c r="P62" s="118" t="inlineStr">
        <is>
          <t>✅ CF+</t>
        </is>
      </c>
      <c r="Q62" s="119">
        <f>IFERROR(L62-M62,"")</f>
        <v/>
      </c>
      <c r="R62" s="120" t="n">
        <v>25.67</v>
      </c>
      <c r="S62" s="120" t="n">
        <v>13.76</v>
      </c>
      <c r="T62" s="121" t="inlineStr">
        <is>
          <t>ADMA Biologics, Inc., a biopharmaceutical company, develops, manufactures, and markets specialty plasma-derived biologics for the treatment of immune deficiencies and infectious diseases in the United</t>
        </is>
      </c>
    </row>
    <row r="63" ht="30" customHeight="1" s="89">
      <c r="A63" s="100" t="inlineStr">
        <is>
          <t>LEGN</t>
        </is>
      </c>
      <c r="B63" s="101" t="inlineStr">
        <is>
          <t>Legend Biotech Corporation</t>
        </is>
      </c>
      <c r="C63" s="102" t="inlineStr">
        <is>
          <t>NASDAQ</t>
        </is>
      </c>
      <c r="D63" s="103" t="inlineStr"/>
      <c r="E63" s="101" t="inlineStr"/>
      <c r="F63" s="103" t="inlineStr"/>
      <c r="G63" s="101" t="inlineStr"/>
      <c r="H63" s="103" t="inlineStr"/>
      <c r="I63" s="102" t="inlineStr"/>
      <c r="J63" s="101" t="inlineStr"/>
      <c r="K63" s="101" t="inlineStr"/>
      <c r="L63" s="104" t="n">
        <v>3462.9</v>
      </c>
      <c r="M63" s="104" t="n">
        <v>948.6</v>
      </c>
      <c r="N63" s="123" t="n">
        <v>25.1</v>
      </c>
      <c r="O63" s="106">
        <f>IFERROR(ROUND(M63/N63,1),"")</f>
        <v/>
      </c>
      <c r="P63" s="107">
        <f>IFERROR(IF(O63="CF+","✅ CF+",IF(O63&lt;4,"🔴 &lt;4Q",IF(O63&lt;8,"🟡 4-8Q","🟢 &gt;8Q"))),"—")</f>
        <v/>
      </c>
      <c r="Q63" s="108">
        <f>IFERROR(L63-M63,"")</f>
        <v/>
      </c>
      <c r="R63" s="109" t="n">
        <v>45.3</v>
      </c>
      <c r="S63" s="109" t="n">
        <v>16.24</v>
      </c>
      <c r="T63" s="110" t="inlineStr">
        <is>
          <t>Legend Biotech Corporation, through its subsidiaries, operates as a biopharmaceutical company that discovers, develops, manufactures, and commercializes novel cell therapies for oncology and other ind</t>
        </is>
      </c>
    </row>
    <row r="64" ht="30" customHeight="1" s="89">
      <c r="A64" s="111" t="inlineStr">
        <is>
          <t>NAMS</t>
        </is>
      </c>
      <c r="B64" s="112" t="inlineStr">
        <is>
          <t>NewAmsterdam Pharma Company N.V.</t>
        </is>
      </c>
      <c r="C64" s="113" t="inlineStr">
        <is>
          <t>NGM (ADR)</t>
        </is>
      </c>
      <c r="D64" s="114" t="inlineStr"/>
      <c r="E64" s="112" t="inlineStr"/>
      <c r="F64" s="114" t="inlineStr"/>
      <c r="G64" s="112" t="inlineStr"/>
      <c r="H64" s="114" t="inlineStr"/>
      <c r="I64" s="113" t="inlineStr"/>
      <c r="J64" s="112" t="inlineStr"/>
      <c r="K64" s="112" t="inlineStr"/>
      <c r="L64" s="115" t="n">
        <v>3290.6</v>
      </c>
      <c r="M64" s="115" t="n">
        <v>636.2</v>
      </c>
      <c r="N64" s="122" t="n">
        <v>36.8</v>
      </c>
      <c r="O64" s="117">
        <f>IFERROR(ROUND(M64/N64,1),"")</f>
        <v/>
      </c>
      <c r="P64" s="118">
        <f>IFERROR(IF(O64="CF+","✅ CF+",IF(O64&lt;4,"🔴 &lt;4Q",IF(O64&lt;8,"🟡 4-8Q","🟢 &gt;8Q"))),"—")</f>
        <v/>
      </c>
      <c r="Q64" s="119">
        <f>IFERROR(L64-M64,"")</f>
        <v/>
      </c>
      <c r="R64" s="120" t="n">
        <v>42</v>
      </c>
      <c r="S64" s="120" t="n">
        <v>14.06</v>
      </c>
      <c r="T64" s="121" t="inlineStr">
        <is>
          <t xml:space="preserve">NewAmsterdam Pharma Company N.V., a late-stage biopharmaceutical company, develops therapies to enhance patient care in populations with cardiometabolic disease. It is developing Obicetrapib, an oral </t>
        </is>
      </c>
    </row>
    <row r="65" ht="30" customHeight="1" s="89">
      <c r="A65" s="100" t="inlineStr">
        <is>
          <t>DNLI</t>
        </is>
      </c>
      <c r="B65" s="101" t="inlineStr">
        <is>
          <t>Denali Therapeutics Inc.</t>
        </is>
      </c>
      <c r="C65" s="102" t="inlineStr">
        <is>
          <t>NASDAQ</t>
        </is>
      </c>
      <c r="D65" s="172" t="inlineStr">
        <is>
          <t>Rare Disease</t>
        </is>
      </c>
      <c r="E65" s="101" t="inlineStr">
        <is>
          <t>Mucopolysaccharidosis II</t>
        </is>
      </c>
      <c r="F65" s="171" t="inlineStr">
        <is>
          <t>Small Molecule</t>
        </is>
      </c>
      <c r="G65" s="101" t="inlineStr">
        <is>
          <t>tividenofusp alfa</t>
        </is>
      </c>
      <c r="H65" s="172" t="inlineStr">
        <is>
          <t>Phase 2/3</t>
        </is>
      </c>
      <c r="I65" s="102" t="inlineStr">
        <is>
          <t>Dec 2027</t>
        </is>
      </c>
      <c r="J65" s="101" t="inlineStr">
        <is>
          <t>Phase 2 Data Readout</t>
        </is>
      </c>
      <c r="K65" s="101" t="inlineStr"/>
      <c r="L65" s="104" t="n">
        <v>3262.2</v>
      </c>
      <c r="M65" s="104" t="n">
        <v>867.9</v>
      </c>
      <c r="N65" s="123" t="n">
        <v>102.9</v>
      </c>
      <c r="O65" s="106">
        <f>IFERROR(ROUND(M65/N65,1),"")</f>
        <v/>
      </c>
      <c r="P65" s="107">
        <f>IFERROR(IF(O65="CF+","✅ CF+",IF(O65&lt;4,"🔴 &lt;4Q",IF(O65&lt;8,"🟡 4-8Q","🟢 &gt;8Q"))),"—")</f>
        <v/>
      </c>
      <c r="Q65" s="108">
        <f>IFERROR(L65-M65,"")</f>
        <v/>
      </c>
      <c r="R65" s="109" t="n">
        <v>23.77</v>
      </c>
      <c r="S65" s="109" t="n">
        <v>10.57</v>
      </c>
      <c r="T65" s="110" t="inlineStr">
        <is>
          <t>Denali Therapeutics Inc., a biopharmaceutical company, discovers and develops therapeutics to treat neurodegenerative and lysosomal storage diseases. The company develops Eclitasertib (SAR443122/DNL75</t>
        </is>
      </c>
    </row>
    <row r="66" ht="30" customHeight="1" s="89">
      <c r="A66" s="111" t="inlineStr">
        <is>
          <t>LQDA</t>
        </is>
      </c>
      <c r="B66" s="112" t="inlineStr">
        <is>
          <t>Liquidia Corporation</t>
        </is>
      </c>
      <c r="C66" s="113" t="inlineStr">
        <is>
          <t>NASDAQ</t>
        </is>
      </c>
      <c r="D66" s="114" t="inlineStr"/>
      <c r="E66" s="112" t="inlineStr"/>
      <c r="F66" s="114" t="inlineStr"/>
      <c r="G66" s="112" t="inlineStr"/>
      <c r="H66" s="114" t="inlineStr"/>
      <c r="I66" s="113" t="inlineStr"/>
      <c r="J66" s="112" t="inlineStr"/>
      <c r="K66" s="112" t="inlineStr"/>
      <c r="L66" s="115" t="n">
        <v>3189.3</v>
      </c>
      <c r="M66" s="115" t="n">
        <v>190.7</v>
      </c>
      <c r="N66" s="122" t="n">
        <v>24.6</v>
      </c>
      <c r="O66" s="117">
        <f>IFERROR(ROUND(M66/N66,1),"")</f>
        <v/>
      </c>
      <c r="P66" s="118">
        <f>IFERROR(IF(O66="CF+","✅ CF+",IF(O66&lt;4,"🔴 &lt;4Q",IF(O66&lt;8,"🟡 4-8Q","🟢 &gt;8Q"))),"—")</f>
        <v/>
      </c>
      <c r="Q66" s="119">
        <f>IFERROR(L66-M66,"")</f>
        <v/>
      </c>
      <c r="R66" s="120" t="n">
        <v>46.67</v>
      </c>
      <c r="S66" s="120" t="n">
        <v>11.26</v>
      </c>
      <c r="T66" s="121" t="inlineStr">
        <is>
          <t>Liquidia Corporation, a biopharmaceutical company, develops, manufactures, and commercializes various products for rare cardiopulmonary diseases in the United States. The company's lead product candid</t>
        </is>
      </c>
    </row>
    <row r="67" ht="30" customHeight="1" s="89">
      <c r="A67" s="100" t="inlineStr">
        <is>
          <t>DORM</t>
        </is>
      </c>
      <c r="B67" s="101" t="inlineStr">
        <is>
          <t>Dorman Products, Inc.</t>
        </is>
      </c>
      <c r="C67" s="102" t="inlineStr">
        <is>
          <t>NASDAQ</t>
        </is>
      </c>
      <c r="D67" s="103" t="inlineStr"/>
      <c r="E67" s="101" t="inlineStr"/>
      <c r="F67" s="103" t="inlineStr"/>
      <c r="G67" s="101" t="inlineStr"/>
      <c r="H67" s="103" t="inlineStr"/>
      <c r="I67" s="102" t="inlineStr"/>
      <c r="J67" s="101" t="inlineStr"/>
      <c r="K67" s="101" t="inlineStr"/>
      <c r="L67" s="104" t="n">
        <v>3142.1</v>
      </c>
      <c r="M67" s="104" t="n">
        <v>49.4</v>
      </c>
      <c r="N67" s="105" t="n"/>
      <c r="O67" s="106" t="inlineStr">
        <is>
          <t>CF+</t>
        </is>
      </c>
      <c r="P67" s="107" t="inlineStr">
        <is>
          <t>✅ CF+</t>
        </is>
      </c>
      <c r="Q67" s="108">
        <f>IFERROR(L67-M67,"")</f>
        <v/>
      </c>
      <c r="R67" s="109" t="n">
        <v>166.89</v>
      </c>
      <c r="S67" s="109" t="n">
        <v>101.03</v>
      </c>
      <c r="T67" s="110" t="inlineStr">
        <is>
          <t xml:space="preserve">Dorman Products, Inc. supplies replacement and upgrade parts for the motor vehicle aftermarket industry in the United States and internationally. It operates through three segments: Light Duty, Heavy </t>
        </is>
      </c>
    </row>
    <row r="68" ht="30" customHeight="1" s="89">
      <c r="A68" s="111" t="inlineStr">
        <is>
          <t>IDYA</t>
        </is>
      </c>
      <c r="B68" s="112" t="inlineStr">
        <is>
          <t>IDEAYA Biosciences, Inc.</t>
        </is>
      </c>
      <c r="C68" s="113" t="inlineStr">
        <is>
          <t>NASDAQ</t>
        </is>
      </c>
      <c r="D68" s="114" t="inlineStr"/>
      <c r="E68" s="112" t="inlineStr"/>
      <c r="F68" s="114" t="inlineStr"/>
      <c r="G68" s="112" t="inlineStr"/>
      <c r="H68" s="114" t="inlineStr"/>
      <c r="I68" s="113" t="inlineStr"/>
      <c r="J68" s="112" t="inlineStr"/>
      <c r="K68" s="112" t="inlineStr"/>
      <c r="L68" s="115" t="n">
        <v>2905.8</v>
      </c>
      <c r="M68" s="115" t="n">
        <v>639.4</v>
      </c>
      <c r="N68" s="122" t="n">
        <v>17.8</v>
      </c>
      <c r="O68" s="117">
        <f>IFERROR(ROUND(M68/N68,1),"")</f>
        <v/>
      </c>
      <c r="P68" s="118">
        <f>IFERROR(IF(O68="CF+","✅ CF+",IF(O68&lt;4,"🔴 &lt;4Q",IF(O68&lt;8,"🟡 4-8Q","🟢 &gt;8Q"))),"—")</f>
        <v/>
      </c>
      <c r="Q68" s="119">
        <f>IFERROR(L68-M68,"")</f>
        <v/>
      </c>
      <c r="R68" s="120" t="n">
        <v>39.28</v>
      </c>
      <c r="S68" s="120" t="n">
        <v>13.45</v>
      </c>
      <c r="T68" s="121" t="inlineStr">
        <is>
          <t>IDEAYA Biosciences, Inc., a precision medicine oncology company, discovers and develops targeted therapeutics for patient populations selected using molecular diagnostics in the United States. The com</t>
        </is>
      </c>
    </row>
    <row r="69" ht="30" customHeight="1" s="89">
      <c r="A69" s="100" t="inlineStr">
        <is>
          <t>TARS</t>
        </is>
      </c>
      <c r="B69" s="101" t="inlineStr">
        <is>
          <t>Tarsus Pharmaceuticals, Inc.</t>
        </is>
      </c>
      <c r="C69" s="102" t="inlineStr">
        <is>
          <t>NASDAQ</t>
        </is>
      </c>
      <c r="D69" s="179" t="inlineStr">
        <is>
          <t>Ophthalmology</t>
        </is>
      </c>
      <c r="E69" s="101" t="inlineStr">
        <is>
          <t>Blepharitis</t>
        </is>
      </c>
      <c r="F69" s="171" t="inlineStr">
        <is>
          <t>Small Molecule</t>
        </is>
      </c>
      <c r="G69" s="101" t="inlineStr">
        <is>
          <t>TP-03</t>
        </is>
      </c>
      <c r="H69" s="172" t="inlineStr">
        <is>
          <t>Phase 3</t>
        </is>
      </c>
      <c r="I69" s="102" t="inlineStr">
        <is>
          <t>May 2022</t>
        </is>
      </c>
      <c r="J69" s="101" t="inlineStr">
        <is>
          <t>Phase 3 Data Readout</t>
        </is>
      </c>
      <c r="K69" s="101" t="inlineStr"/>
      <c r="L69" s="104" t="n">
        <v>2892.2</v>
      </c>
      <c r="M69" s="104" t="n">
        <v>417.3</v>
      </c>
      <c r="N69" s="123" t="n">
        <v>3.1</v>
      </c>
      <c r="O69" s="106">
        <f>IFERROR(ROUND(M69/N69,1),"")</f>
        <v/>
      </c>
      <c r="P69" s="107">
        <f>IFERROR(IF(O69="CF+","✅ CF+",IF(O69&lt;4,"🔴 &lt;4Q",IF(O69&lt;8,"🟡 4-8Q","🟢 &gt;8Q"))),"—")</f>
        <v/>
      </c>
      <c r="Q69" s="108">
        <f>IFERROR(L69-M69,"")</f>
        <v/>
      </c>
      <c r="R69" s="109" t="n">
        <v>85.25</v>
      </c>
      <c r="S69" s="109" t="n">
        <v>38.51</v>
      </c>
      <c r="T69" s="110" t="inlineStr">
        <is>
          <t>Tarsus Pharmaceuticals, Inc., a commercial stage biopharmaceutical company, focuses on the development and commercialization of therapeutic candidates for eye care in the United States. The company of</t>
        </is>
      </c>
    </row>
    <row r="70" ht="30" customHeight="1" s="89">
      <c r="A70" s="111" t="inlineStr">
        <is>
          <t>CPRX</t>
        </is>
      </c>
      <c r="B70" s="112" t="inlineStr">
        <is>
          <t>Catalyst Pharmaceuticals, Inc.</t>
        </is>
      </c>
      <c r="C70" s="113" t="inlineStr">
        <is>
          <t>NASDAQ</t>
        </is>
      </c>
      <c r="D70" s="172" t="inlineStr">
        <is>
          <t>Rare Disease</t>
        </is>
      </c>
      <c r="E70" s="112" t="inlineStr">
        <is>
          <t>Lambert-Eaton Myasthenic Syndrome</t>
        </is>
      </c>
      <c r="F70" s="171" t="inlineStr">
        <is>
          <t>Small Molecule</t>
        </is>
      </c>
      <c r="G70" s="112" t="inlineStr">
        <is>
          <t>Amifampridine Phosphate</t>
        </is>
      </c>
      <c r="H70" s="172" t="inlineStr">
        <is>
          <t>Phase 3</t>
        </is>
      </c>
      <c r="I70" s="113" t="inlineStr">
        <is>
          <t>Oct 2017</t>
        </is>
      </c>
      <c r="J70" s="112" t="inlineStr">
        <is>
          <t>Commercial / Label Expansion</t>
        </is>
      </c>
      <c r="K70" s="112" t="inlineStr"/>
      <c r="L70" s="115" t="n">
        <v>2855.3</v>
      </c>
      <c r="M70" s="115" t="n">
        <v>709.2</v>
      </c>
      <c r="N70" s="116" t="n"/>
      <c r="O70" s="117" t="inlineStr">
        <is>
          <t>CF+</t>
        </is>
      </c>
      <c r="P70" s="118" t="inlineStr">
        <is>
          <t>✅ CF+</t>
        </is>
      </c>
      <c r="Q70" s="119">
        <f>IFERROR(L70-M70,"")</f>
        <v/>
      </c>
      <c r="R70" s="120" t="n">
        <v>26.58</v>
      </c>
      <c r="S70" s="120" t="n">
        <v>19.05</v>
      </c>
      <c r="T70" s="121" t="inlineStr">
        <is>
          <t>Catalyst Pharmaceuticals, Inc., a commercial-stage biopharmaceutical company, focuses on developing and commercializing medicines for patients living with rare diseases in the United States. It offers</t>
        </is>
      </c>
    </row>
    <row r="71" ht="30" customHeight="1" s="89">
      <c r="A71" s="100" t="inlineStr">
        <is>
          <t>VERA</t>
        </is>
      </c>
      <c r="B71" s="101" t="inlineStr">
        <is>
          <t>Vera Therapeutics, Inc.</t>
        </is>
      </c>
      <c r="C71" s="102" t="inlineStr">
        <is>
          <t>NGM</t>
        </is>
      </c>
      <c r="D71" s="178" t="inlineStr">
        <is>
          <t>Immunology</t>
        </is>
      </c>
      <c r="E71" s="101" t="inlineStr">
        <is>
          <t>IgA Nephropathy</t>
        </is>
      </c>
      <c r="F71" s="173" t="inlineStr">
        <is>
          <t>Monoclonal Ab (mAb)</t>
        </is>
      </c>
      <c r="G71" s="101" t="inlineStr">
        <is>
          <t>Atacicept</t>
        </is>
      </c>
      <c r="H71" s="172" t="inlineStr">
        <is>
          <t>Phase 3</t>
        </is>
      </c>
      <c r="I71" s="102" t="inlineStr">
        <is>
          <t>May 2025</t>
        </is>
      </c>
      <c r="J71" s="101" t="inlineStr">
        <is>
          <t>Phase 3 Readout</t>
        </is>
      </c>
      <c r="K71" s="101" t="inlineStr"/>
      <c r="L71" s="104" t="n">
        <v>2851.4</v>
      </c>
      <c r="M71" s="104" t="n">
        <v>714.6</v>
      </c>
      <c r="N71" s="123" t="n">
        <v>66</v>
      </c>
      <c r="O71" s="106">
        <f>IFERROR(ROUND(M71/N71,1),"")</f>
        <v/>
      </c>
      <c r="P71" s="107">
        <f>IFERROR(IF(O71="CF+","✅ CF+",IF(O71&lt;4,"🔴 &lt;4Q",IF(O71&lt;8,"🟡 4-8Q","🟢 &gt;8Q"))),"—")</f>
        <v/>
      </c>
      <c r="Q71" s="108">
        <f>IFERROR(L71-M71,"")</f>
        <v/>
      </c>
      <c r="R71" s="109" t="n">
        <v>56.05</v>
      </c>
      <c r="S71" s="109" t="n">
        <v>18.53</v>
      </c>
      <c r="T71" s="110" t="inlineStr">
        <is>
          <t>Vera Therapeutics, Inc., a clinical stage biotechnology company, focuses on the development and commercialization of transformative treatments for patients with immunological diseases. The company off</t>
        </is>
      </c>
    </row>
    <row r="72" ht="30" customHeight="1" s="89">
      <c r="A72" s="111" t="inlineStr">
        <is>
          <t>ARQT</t>
        </is>
      </c>
      <c r="B72" s="112" t="inlineStr">
        <is>
          <t>Arcutis Biotherapeutics, Inc.</t>
        </is>
      </c>
      <c r="C72" s="113" t="inlineStr">
        <is>
          <t>NASDAQ</t>
        </is>
      </c>
      <c r="D72" s="178" t="inlineStr">
        <is>
          <t>Immunology</t>
        </is>
      </c>
      <c r="E72" s="112" t="inlineStr">
        <is>
          <t>Scalp Psoriasis</t>
        </is>
      </c>
      <c r="F72" s="171" t="inlineStr">
        <is>
          <t>Small Molecule</t>
        </is>
      </c>
      <c r="G72" s="112" t="inlineStr">
        <is>
          <t>Roflumilast Foam 0.3%</t>
        </is>
      </c>
      <c r="H72" s="172" t="inlineStr">
        <is>
          <t>Phase 3</t>
        </is>
      </c>
      <c r="I72" s="113" t="inlineStr">
        <is>
          <t>Jun 2022</t>
        </is>
      </c>
      <c r="J72" s="112" t="inlineStr">
        <is>
          <t>Phase 3 Data Readout</t>
        </is>
      </c>
      <c r="K72" s="112" t="inlineStr"/>
      <c r="L72" s="115" t="n">
        <v>2821.8</v>
      </c>
      <c r="M72" s="115" t="n">
        <v>221</v>
      </c>
      <c r="N72" s="122" t="n">
        <v>1.4</v>
      </c>
      <c r="O72" s="117">
        <f>IFERROR(ROUND(M72/N72,1),"")</f>
        <v/>
      </c>
      <c r="P72" s="118">
        <f>IFERROR(IF(O72="CF+","✅ CF+",IF(O72&lt;4,"🔴 &lt;4Q",IF(O72&lt;8,"🟡 4-8Q","🟢 &gt;8Q"))),"—")</f>
        <v/>
      </c>
      <c r="Q72" s="119">
        <f>IFERROR(L72-M72,"")</f>
        <v/>
      </c>
      <c r="R72" s="120" t="n">
        <v>31.77</v>
      </c>
      <c r="S72" s="120" t="n">
        <v>11.86</v>
      </c>
      <c r="T72" s="121" t="inlineStr">
        <is>
          <t>Arcutis Biotherapeutics, Inc., a biopharmaceutical company, focuses on developing and commercializing treatments for dermatological diseases. The company's lead product is ZORYVE, a topical roflumilas</t>
        </is>
      </c>
    </row>
    <row r="73" ht="30" customHeight="1" s="89">
      <c r="A73" s="100" t="inlineStr">
        <is>
          <t>RCUS</t>
        </is>
      </c>
      <c r="B73" s="101" t="inlineStr">
        <is>
          <t>Arcus Biosciences, Inc.</t>
        </is>
      </c>
      <c r="C73" s="102" t="inlineStr">
        <is>
          <t>NYSE</t>
        </is>
      </c>
      <c r="D73" s="174" t="inlineStr">
        <is>
          <t>Oncology</t>
        </is>
      </c>
      <c r="E73" s="101" t="inlineStr">
        <is>
          <t>Non-Small Cell Lung Cancer</t>
        </is>
      </c>
      <c r="F73" s="173" t="inlineStr">
        <is>
          <t>Monoclonal Ab (mAb)</t>
        </is>
      </c>
      <c r="G73" s="101" t="inlineStr">
        <is>
          <t>Durvalumab</t>
        </is>
      </c>
      <c r="H73" s="172" t="inlineStr">
        <is>
          <t>Phase 3</t>
        </is>
      </c>
      <c r="I73" s="102" t="inlineStr">
        <is>
          <t>Jul 2028</t>
        </is>
      </c>
      <c r="J73" s="101" t="inlineStr">
        <is>
          <t>Phase 3 Readout</t>
        </is>
      </c>
      <c r="K73" s="101" t="inlineStr">
        <is>
          <t>Arcus Biosciences, Inc.</t>
        </is>
      </c>
      <c r="L73" s="104" t="n">
        <v>2753.9</v>
      </c>
      <c r="M73" s="104" t="n">
        <v>981</v>
      </c>
      <c r="N73" s="123" t="n">
        <v>108.5</v>
      </c>
      <c r="O73" s="106">
        <f>IFERROR(ROUND(M73/N73,1),"")</f>
        <v/>
      </c>
      <c r="P73" s="107">
        <f>IFERROR(IF(O73="CF+","✅ CF+",IF(O73&lt;4,"🔴 &lt;4Q",IF(O73&lt;8,"🟡 4-8Q","🟢 &gt;8Q"))),"—")</f>
        <v/>
      </c>
      <c r="Q73" s="108">
        <f>IFERROR(L73-M73,"")</f>
        <v/>
      </c>
      <c r="R73" s="109" t="n">
        <v>26.4</v>
      </c>
      <c r="S73" s="109" t="n">
        <v>6.5</v>
      </c>
      <c r="T73" s="110" t="inlineStr">
        <is>
          <t>Arcus Biosciences, Inc., a clinical-stage biopharmaceutical company, develops and commercializes cancer therapies in the United States. The company's development product portfolio includes Casdatifan,</t>
        </is>
      </c>
    </row>
    <row r="74" ht="30" customHeight="1" s="89">
      <c r="A74" s="111" t="inlineStr">
        <is>
          <t>PRVA</t>
        </is>
      </c>
      <c r="B74" s="112" t="inlineStr">
        <is>
          <t>Privia Health Group, Inc.</t>
        </is>
      </c>
      <c r="C74" s="113" t="inlineStr">
        <is>
          <t>NASDAQ</t>
        </is>
      </c>
      <c r="D74" s="114" t="inlineStr"/>
      <c r="E74" s="112" t="inlineStr"/>
      <c r="F74" s="114" t="inlineStr"/>
      <c r="G74" s="112" t="inlineStr"/>
      <c r="H74" s="114" t="inlineStr"/>
      <c r="I74" s="113" t="inlineStr"/>
      <c r="J74" s="112" t="inlineStr"/>
      <c r="K74" s="112" t="inlineStr"/>
      <c r="L74" s="115" t="n">
        <v>2681.6</v>
      </c>
      <c r="M74" s="115" t="n">
        <v>479.7</v>
      </c>
      <c r="N74" s="116" t="n"/>
      <c r="O74" s="117" t="inlineStr">
        <is>
          <t>CF+</t>
        </is>
      </c>
      <c r="P74" s="118" t="inlineStr">
        <is>
          <t>✅ CF+</t>
        </is>
      </c>
      <c r="Q74" s="119">
        <f>IFERROR(L74-M74,"")</f>
        <v/>
      </c>
      <c r="R74" s="120" t="n">
        <v>26.51</v>
      </c>
      <c r="S74" s="120" t="n">
        <v>18.77</v>
      </c>
      <c r="T74" s="121" t="inlineStr">
        <is>
          <t xml:space="preserve">Privia Health Group, Inc. operates as a national physician-enablement company in the United States. The company collaborates with physician practices, health plans, and health systems. It also offers </t>
        </is>
      </c>
    </row>
    <row r="75" ht="30" customHeight="1" s="89">
      <c r="A75" s="100" t="inlineStr">
        <is>
          <t>TVTX</t>
        </is>
      </c>
      <c r="B75" s="101" t="inlineStr">
        <is>
          <t>Travere Therapeutics, Inc.</t>
        </is>
      </c>
      <c r="C75" s="102" t="inlineStr">
        <is>
          <t>NGM</t>
        </is>
      </c>
      <c r="D75" s="178" t="inlineStr">
        <is>
          <t>Immunology</t>
        </is>
      </c>
      <c r="E75" s="101" t="inlineStr">
        <is>
          <t>Homocystinuria</t>
        </is>
      </c>
      <c r="F75" s="171" t="inlineStr">
        <is>
          <t>Small Molecule</t>
        </is>
      </c>
      <c r="G75" s="101" t="inlineStr">
        <is>
          <t>Pegtibatinase</t>
        </is>
      </c>
      <c r="H75" s="172" t="inlineStr">
        <is>
          <t>Phase 3</t>
        </is>
      </c>
      <c r="I75" s="102" t="inlineStr">
        <is>
          <t>Dec 2025</t>
        </is>
      </c>
      <c r="J75" s="101" t="inlineStr">
        <is>
          <t>Phase 3 Readout</t>
        </is>
      </c>
      <c r="K75" s="101" t="inlineStr"/>
      <c r="L75" s="104" t="n">
        <v>2564.3</v>
      </c>
      <c r="M75" s="104" t="n">
        <v>322.8</v>
      </c>
      <c r="N75" s="105" t="n"/>
      <c r="O75" s="106" t="inlineStr">
        <is>
          <t>CF+</t>
        </is>
      </c>
      <c r="P75" s="107" t="inlineStr">
        <is>
          <t>✅ CF+</t>
        </is>
      </c>
      <c r="Q75" s="108">
        <f>IFERROR(L75-M75,"")</f>
        <v/>
      </c>
      <c r="R75" s="109" t="n">
        <v>42.13</v>
      </c>
      <c r="S75" s="109" t="n">
        <v>12.91</v>
      </c>
      <c r="T75" s="110" t="inlineStr">
        <is>
          <t>Travere Therapeutics, Inc., a biopharmaceutical company, identifies, develops, and delivers therapies to people living with rare kidney and metabolic diseases in the United States. The company's produ</t>
        </is>
      </c>
    </row>
    <row r="76" ht="30" customHeight="1" s="89">
      <c r="A76" s="111" t="inlineStr">
        <is>
          <t>BEAM</t>
        </is>
      </c>
      <c r="B76" s="112" t="inlineStr">
        <is>
          <t>Beam Therapeutics Inc.</t>
        </is>
      </c>
      <c r="C76" s="113" t="inlineStr">
        <is>
          <t>NASDAQ</t>
        </is>
      </c>
      <c r="D76" s="172" t="inlineStr">
        <is>
          <t>Rare Disease</t>
        </is>
      </c>
      <c r="E76" s="112" t="inlineStr">
        <is>
          <t>Glycogen Storage Disease Type Ia</t>
        </is>
      </c>
      <c r="F76" s="171" t="inlineStr">
        <is>
          <t>Small Molecule</t>
        </is>
      </c>
      <c r="G76" s="112" t="inlineStr">
        <is>
          <t>BEAM-301: Single dose of BEAM-301 administered by IV</t>
        </is>
      </c>
      <c r="H76" s="176" t="inlineStr">
        <is>
          <t>Phase 1/2</t>
        </is>
      </c>
      <c r="I76" s="113" t="inlineStr">
        <is>
          <t>Dec 2027</t>
        </is>
      </c>
      <c r="J76" s="112" t="inlineStr">
        <is>
          <t>Phase 1/2 Data Readout</t>
        </is>
      </c>
      <c r="K76" s="112" t="inlineStr"/>
      <c r="L76" s="115" t="n">
        <v>2562.7</v>
      </c>
      <c r="M76" s="115" t="n">
        <v>1245.2</v>
      </c>
      <c r="N76" s="122" t="n">
        <v>82.40000000000001</v>
      </c>
      <c r="O76" s="117">
        <f>IFERROR(ROUND(M76/N76,1),"")</f>
        <v/>
      </c>
      <c r="P76" s="118">
        <f>IFERROR(IF(O76="CF+","✅ CF+",IF(O76&lt;4,"🔴 &lt;4Q",IF(O76&lt;8,"🟡 4-8Q","🟢 &gt;8Q"))),"—")</f>
        <v/>
      </c>
      <c r="Q76" s="119">
        <f>IFERROR(L76-M76,"")</f>
        <v/>
      </c>
      <c r="R76" s="120" t="n">
        <v>36.44</v>
      </c>
      <c r="S76" s="120" t="n">
        <v>13.53</v>
      </c>
      <c r="T76" s="121" t="inlineStr">
        <is>
          <t>Beam Therapeutics Inc., a biotechnology company, engages in the development of precision genetic medicines for patients suffering from serious diseases in the United States. Its programs in hematology</t>
        </is>
      </c>
    </row>
    <row r="77" ht="30" customHeight="1" s="89">
      <c r="A77" s="100" t="inlineStr">
        <is>
          <t>UCTT</t>
        </is>
      </c>
      <c r="B77" s="101" t="inlineStr">
        <is>
          <t>Ultra Clean Holdings, Inc.</t>
        </is>
      </c>
      <c r="C77" s="102" t="inlineStr">
        <is>
          <t>NASDAQ</t>
        </is>
      </c>
      <c r="D77" s="103" t="inlineStr"/>
      <c r="E77" s="101" t="inlineStr"/>
      <c r="F77" s="103" t="inlineStr"/>
      <c r="G77" s="101" t="inlineStr"/>
      <c r="H77" s="103" t="inlineStr"/>
      <c r="I77" s="102" t="inlineStr"/>
      <c r="J77" s="101" t="inlineStr"/>
      <c r="K77" s="101" t="inlineStr"/>
      <c r="L77" s="104" t="n">
        <v>2500.6</v>
      </c>
      <c r="M77" s="104" t="n">
        <v>311.8</v>
      </c>
      <c r="N77" s="105" t="n"/>
      <c r="O77" s="106" t="inlineStr">
        <is>
          <t>CF+</t>
        </is>
      </c>
      <c r="P77" s="107" t="inlineStr">
        <is>
          <t>✅ CF+</t>
        </is>
      </c>
      <c r="Q77" s="108">
        <f>IFERROR(L77-M77,"")</f>
        <v/>
      </c>
      <c r="R77" s="109" t="n">
        <v>73.8</v>
      </c>
      <c r="S77" s="109" t="n">
        <v>16.66</v>
      </c>
      <c r="T77" s="110" t="inlineStr">
        <is>
          <t>Ultra Clean Holdings, Inc. develops and supplies critical subsystems, components and parts, and cleaning and analytical services for the semiconductor industry in the United States and internationally</t>
        </is>
      </c>
    </row>
    <row r="78" ht="30" customHeight="1" s="89">
      <c r="A78" s="111" t="inlineStr">
        <is>
          <t>APLS</t>
        </is>
      </c>
      <c r="B78" s="112" t="inlineStr">
        <is>
          <t>Apellis Pharmaceuticals, Inc.</t>
        </is>
      </c>
      <c r="C78" s="113" t="inlineStr">
        <is>
          <t>NASDAQ</t>
        </is>
      </c>
      <c r="D78" s="179" t="inlineStr">
        <is>
          <t>Ophthalmology</t>
        </is>
      </c>
      <c r="E78" s="112" t="inlineStr">
        <is>
          <t>Delayed Graft Function</t>
        </is>
      </c>
      <c r="F78" s="171" t="inlineStr">
        <is>
          <t>Small Molecule</t>
        </is>
      </c>
      <c r="G78" s="112" t="inlineStr">
        <is>
          <t>Pegcetacoplan</t>
        </is>
      </c>
      <c r="H78" s="172" t="inlineStr">
        <is>
          <t>Phase 3</t>
        </is>
      </c>
      <c r="I78" s="113" t="inlineStr">
        <is>
          <t>Aug 2027</t>
        </is>
      </c>
      <c r="J78" s="112" t="inlineStr">
        <is>
          <t>Commercial / Label Expansion</t>
        </is>
      </c>
      <c r="K78" s="112" t="inlineStr"/>
      <c r="L78" s="115" t="n">
        <v>2421.1</v>
      </c>
      <c r="M78" s="115" t="n">
        <v>467.8</v>
      </c>
      <c r="N78" s="116" t="n"/>
      <c r="O78" s="117" t="inlineStr">
        <is>
          <t>CF+</t>
        </is>
      </c>
      <c r="P78" s="118" t="inlineStr">
        <is>
          <t>✅ CF+</t>
        </is>
      </c>
      <c r="Q78" s="119">
        <f>IFERROR(L78-M78,"")</f>
        <v/>
      </c>
      <c r="R78" s="120" t="n">
        <v>30.48</v>
      </c>
      <c r="S78" s="120" t="n">
        <v>16.1</v>
      </c>
      <c r="T78" s="121" t="inlineStr">
        <is>
          <t>Apellis Pharmaceuticals, Inc., a commercial-stage biopharmaceutical company, focuses on the discovery, development, and commercialization of novel therapeutic compounds to treat diseases with high unm</t>
        </is>
      </c>
    </row>
    <row r="79" ht="30" customHeight="1" s="89">
      <c r="A79" s="100" t="inlineStr">
        <is>
          <t>MAZE</t>
        </is>
      </c>
      <c r="B79" s="101" t="inlineStr">
        <is>
          <t>Maze Therapeutics, Inc.</t>
        </is>
      </c>
      <c r="C79" s="102" t="inlineStr">
        <is>
          <t>NGM</t>
        </is>
      </c>
      <c r="D79" s="103" t="inlineStr"/>
      <c r="E79" s="101" t="inlineStr"/>
      <c r="F79" s="103" t="inlineStr"/>
      <c r="G79" s="101" t="inlineStr"/>
      <c r="H79" s="103" t="inlineStr"/>
      <c r="I79" s="102" t="inlineStr"/>
      <c r="J79" s="101" t="inlineStr"/>
      <c r="K79" s="101" t="inlineStr"/>
      <c r="L79" s="104" t="n">
        <v>2416.1</v>
      </c>
      <c r="M79" s="104" t="n">
        <v>383.9</v>
      </c>
      <c r="N79" s="123" t="n">
        <v>27.3</v>
      </c>
      <c r="O79" s="106">
        <f>IFERROR(ROUND(M79/N79,1),"")</f>
        <v/>
      </c>
      <c r="P79" s="107">
        <f>IFERROR(IF(O79="CF+","✅ CF+",IF(O79&lt;4,"🔴 &lt;4Q",IF(O79&lt;8,"🟡 4-8Q","🟢 &gt;8Q"))),"—")</f>
        <v/>
      </c>
      <c r="Q79" s="108">
        <f>IFERROR(L79-M79,"")</f>
        <v/>
      </c>
      <c r="R79" s="109" t="n">
        <v>52.86</v>
      </c>
      <c r="S79" s="109" t="n">
        <v>6.71</v>
      </c>
      <c r="T79" s="110" t="inlineStr">
        <is>
          <t xml:space="preserve">Maze Therapeutics, Inc., a clinical stage biopharmaceutical company, develops small molecule precision medicines for the treatment of renal, cardiovascular, related metabolic diseases, and obesity in </t>
        </is>
      </c>
    </row>
    <row r="80" ht="30" customHeight="1" s="89">
      <c r="A80" s="111" t="inlineStr">
        <is>
          <t>ATRO</t>
        </is>
      </c>
      <c r="B80" s="112" t="inlineStr">
        <is>
          <t>Astronics Corporation</t>
        </is>
      </c>
      <c r="C80" s="113" t="inlineStr">
        <is>
          <t>NASDAQ</t>
        </is>
      </c>
      <c r="D80" s="114" t="inlineStr"/>
      <c r="E80" s="112" t="inlineStr"/>
      <c r="F80" s="114" t="inlineStr"/>
      <c r="G80" s="112" t="inlineStr"/>
      <c r="H80" s="114" t="inlineStr"/>
      <c r="I80" s="113" t="inlineStr"/>
      <c r="J80" s="112" t="inlineStr"/>
      <c r="K80" s="112" t="inlineStr"/>
      <c r="L80" s="115" t="n">
        <v>2281.7</v>
      </c>
      <c r="M80" s="115" t="n">
        <v>18.2</v>
      </c>
      <c r="N80" s="116" t="n"/>
      <c r="O80" s="117" t="inlineStr">
        <is>
          <t>CF+</t>
        </is>
      </c>
      <c r="P80" s="118" t="inlineStr">
        <is>
          <t>✅ CF+</t>
        </is>
      </c>
      <c r="Q80" s="119">
        <f>IFERROR(L80-M80,"")</f>
        <v/>
      </c>
      <c r="R80" s="120" t="n">
        <v>83.95999999999999</v>
      </c>
      <c r="S80" s="120" t="n">
        <v>19.89</v>
      </c>
      <c r="T80" s="121" t="inlineStr">
        <is>
          <t>Astronics Corporation, through its subsidiaries, designs and manufactures products for the aerospace, defense, and electronics industries in the United States, rest of North America, Asia, Europe, Sou</t>
        </is>
      </c>
    </row>
    <row r="81" ht="30" customHeight="1" s="89">
      <c r="A81" s="100" t="inlineStr">
        <is>
          <t>AVDL</t>
        </is>
      </c>
      <c r="B81" s="101" t="inlineStr">
        <is>
          <t>Avadel Pharmaceuticals PLC</t>
        </is>
      </c>
      <c r="C81" s="102" t="inlineStr">
        <is>
          <t>NGM (ADR)</t>
        </is>
      </c>
      <c r="D81" s="103" t="inlineStr"/>
      <c r="E81" s="101" t="inlineStr"/>
      <c r="F81" s="103" t="inlineStr"/>
      <c r="G81" s="101" t="inlineStr"/>
      <c r="H81" s="103" t="inlineStr"/>
      <c r="I81" s="102" t="inlineStr"/>
      <c r="J81" s="101" t="inlineStr"/>
      <c r="K81" s="101" t="inlineStr"/>
      <c r="L81" s="104" t="n">
        <v>2124</v>
      </c>
      <c r="M81" s="104" t="n">
        <v>91.59999999999999</v>
      </c>
      <c r="N81" s="105" t="n"/>
      <c r="O81" s="106" t="inlineStr">
        <is>
          <t>CF+</t>
        </is>
      </c>
      <c r="P81" s="107" t="inlineStr">
        <is>
          <t>✅ CF+</t>
        </is>
      </c>
      <c r="Q81" s="108">
        <f>IFERROR(L81-M81,"")</f>
        <v/>
      </c>
      <c r="R81" s="109" t="n">
        <v>23.57</v>
      </c>
      <c r="S81" s="109" t="n">
        <v>6.38</v>
      </c>
      <c r="T81" s="110" t="inlineStr">
        <is>
          <t>Avadel Pharmaceuticals plc operates as a biopharmaceutical company in the United States. Its lead product candidate is the LUMRYZ, a formulation of sodium oxybate, which is in a Phase 3 clinical trial</t>
        </is>
      </c>
    </row>
    <row r="82" ht="30" customHeight="1" s="89">
      <c r="A82" s="111" t="inlineStr">
        <is>
          <t>GLPG</t>
        </is>
      </c>
      <c r="B82" s="112" t="inlineStr">
        <is>
          <t>Galapagos NV</t>
        </is>
      </c>
      <c r="C82" s="113" t="inlineStr">
        <is>
          <t>NASDAQ (ADR)</t>
        </is>
      </c>
      <c r="D82" s="178" t="inlineStr">
        <is>
          <t>Immunology</t>
        </is>
      </c>
      <c r="E82" s="112" t="inlineStr">
        <is>
          <t>Hematological Malignancies</t>
        </is>
      </c>
      <c r="F82" s="180" t="inlineStr">
        <is>
          <t>Cell Therapy</t>
        </is>
      </c>
      <c r="G82" s="112" t="inlineStr">
        <is>
          <t>GLPG CAR T-cell therapy</t>
        </is>
      </c>
      <c r="H82" s="172" t="inlineStr">
        <is>
          <t>Phase 3</t>
        </is>
      </c>
      <c r="I82" s="113" t="inlineStr">
        <is>
          <t>Jul 2039</t>
        </is>
      </c>
      <c r="J82" s="112" t="inlineStr">
        <is>
          <t>Phase 3 Readout</t>
        </is>
      </c>
      <c r="K82" s="112" t="inlineStr"/>
      <c r="L82" s="115" t="n">
        <v>2089.6</v>
      </c>
      <c r="M82" s="115" t="n">
        <v>2998</v>
      </c>
      <c r="N82" s="122" t="n">
        <v>85.7</v>
      </c>
      <c r="O82" s="117">
        <f>IFERROR(ROUND(M82/N82,1),"")</f>
        <v/>
      </c>
      <c r="P82" s="118">
        <f>IFERROR(IF(O82="CF+","✅ CF+",IF(O82&lt;4,"🔴 &lt;4Q",IF(O82&lt;8,"🟡 4-8Q","🟢 &gt;8Q"))),"—")</f>
        <v/>
      </c>
      <c r="Q82" s="119">
        <f>IFERROR(L82-M82,"")</f>
        <v/>
      </c>
      <c r="R82" s="120" t="n">
        <v>37.78</v>
      </c>
      <c r="S82" s="120" t="n">
        <v>22.59</v>
      </c>
      <c r="T82" s="121" t="inlineStr">
        <is>
          <t>Galapagos NV, a biotechnology company, develops medicines focusing on oncology and immunology primarily in the United States and Europe. The company's pipeline products comprise GLPG3667 that has comp</t>
        </is>
      </c>
    </row>
    <row r="83" ht="30" customHeight="1" s="89">
      <c r="A83" s="100" t="inlineStr">
        <is>
          <t>RARE</t>
        </is>
      </c>
      <c r="B83" s="101" t="inlineStr">
        <is>
          <t>Ultragenyx Pharmaceutical Inc.</t>
        </is>
      </c>
      <c r="C83" s="102" t="inlineStr">
        <is>
          <t>NASDAQ</t>
        </is>
      </c>
      <c r="D83" s="172" t="inlineStr">
        <is>
          <t>Rare Disease</t>
        </is>
      </c>
      <c r="E83" s="101" t="inlineStr">
        <is>
          <t>Angelman Syndrome</t>
        </is>
      </c>
      <c r="F83" s="171" t="inlineStr">
        <is>
          <t>Small Molecule</t>
        </is>
      </c>
      <c r="G83" s="101" t="inlineStr">
        <is>
          <t>GTX-102</t>
        </is>
      </c>
      <c r="H83" s="172" t="inlineStr">
        <is>
          <t>Phase 3</t>
        </is>
      </c>
      <c r="I83" s="102" t="inlineStr">
        <is>
          <t>Jul 2026</t>
        </is>
      </c>
      <c r="J83" s="101" t="inlineStr">
        <is>
          <t>Commercial / Label Expansion</t>
        </is>
      </c>
      <c r="K83" s="101" t="inlineStr"/>
      <c r="L83" s="104" t="n">
        <v>2062.1</v>
      </c>
      <c r="M83" s="104" t="n">
        <v>680</v>
      </c>
      <c r="N83" s="123" t="n">
        <v>95.59999999999999</v>
      </c>
      <c r="O83" s="106">
        <f>IFERROR(ROUND(M83/N83,1),"")</f>
        <v/>
      </c>
      <c r="P83" s="107">
        <f>IFERROR(IF(O83="CF+","✅ CF+",IF(O83&lt;4,"🔴 &lt;4Q",IF(O83&lt;8,"🟡 4-8Q","🟢 &gt;8Q"))),"—")</f>
        <v/>
      </c>
      <c r="Q83" s="108">
        <f>IFERROR(L83-M83,"")</f>
        <v/>
      </c>
      <c r="R83" s="109" t="n">
        <v>42.37</v>
      </c>
      <c r="S83" s="109" t="n">
        <v>18.41</v>
      </c>
      <c r="T83" s="110" t="inlineStr">
        <is>
          <t>Ultragenyx Pharmaceutical Inc., a biopharmaceutical company, focuses on the identification, acquisition, development, and commercialization of novel products for the treatment of rare and ultra-rare g</t>
        </is>
      </c>
    </row>
    <row r="84" ht="30" customHeight="1" s="89">
      <c r="A84" s="111" t="inlineStr">
        <is>
          <t>BCRX</t>
        </is>
      </c>
      <c r="B84" s="112" t="inlineStr">
        <is>
          <t>BioCryst Pharmaceuticals, Inc.</t>
        </is>
      </c>
      <c r="C84" s="113" t="inlineStr">
        <is>
          <t>NASDAQ</t>
        </is>
      </c>
      <c r="D84" s="114" t="inlineStr"/>
      <c r="E84" s="112" t="inlineStr"/>
      <c r="F84" s="114" t="inlineStr"/>
      <c r="G84" s="112" t="inlineStr"/>
      <c r="H84" s="114" t="inlineStr"/>
      <c r="I84" s="113" t="inlineStr"/>
      <c r="J84" s="112" t="inlineStr"/>
      <c r="K84" s="112" t="inlineStr"/>
      <c r="L84" s="115" t="n">
        <v>2061.6</v>
      </c>
      <c r="M84" s="115" t="n">
        <v>274.7</v>
      </c>
      <c r="N84" s="116" t="n"/>
      <c r="O84" s="117" t="inlineStr">
        <is>
          <t>CF+</t>
        </is>
      </c>
      <c r="P84" s="118" t="inlineStr">
        <is>
          <t>✅ CF+</t>
        </is>
      </c>
      <c r="Q84" s="119">
        <f>IFERROR(L84-M84,"")</f>
        <v/>
      </c>
      <c r="R84" s="120" t="n">
        <v>11.31</v>
      </c>
      <c r="S84" s="120" t="n">
        <v>6</v>
      </c>
      <c r="T84" s="121" t="inlineStr">
        <is>
          <t>BioCryst Pharmaceuticals, Inc., a biotechnology company, developing and commercializing medicines for hereditary angioedema (HAE) and other rare diseases. The company markets peramivir injection, an i</t>
        </is>
      </c>
    </row>
    <row r="85" ht="30" customHeight="1" s="89">
      <c r="A85" s="100" t="inlineStr">
        <is>
          <t>NKTR</t>
        </is>
      </c>
      <c r="B85" s="101" t="inlineStr">
        <is>
          <t>Nektar Therapeutics</t>
        </is>
      </c>
      <c r="C85" s="102" t="inlineStr">
        <is>
          <t>NASDAQ</t>
        </is>
      </c>
      <c r="D85" s="168" t="inlineStr">
        <is>
          <t>Cardiometabolic</t>
        </is>
      </c>
      <c r="E85" s="101" t="inlineStr">
        <is>
          <t>Diabetes Mellitus, Type 2</t>
        </is>
      </c>
      <c r="F85" s="181" t="inlineStr">
        <is>
          <t>Protein / Peptide</t>
        </is>
      </c>
      <c r="G85" s="101" t="inlineStr">
        <is>
          <t>Inhaled Human Insulin</t>
        </is>
      </c>
      <c r="H85" s="172" t="inlineStr">
        <is>
          <t>Phase 3</t>
        </is>
      </c>
      <c r="I85" s="102" t="inlineStr"/>
      <c r="J85" s="101" t="inlineStr">
        <is>
          <t>Phase 3 Data Readout</t>
        </is>
      </c>
      <c r="K85" s="101" t="inlineStr">
        <is>
          <t>Sanofi; Nektar Therapeutics</t>
        </is>
      </c>
      <c r="L85" s="104" t="n">
        <v>2049.5</v>
      </c>
      <c r="M85" s="104" t="n">
        <v>245.8</v>
      </c>
      <c r="N85" s="123" t="n">
        <v>47.2</v>
      </c>
      <c r="O85" s="106">
        <f>IFERROR(ROUND(M85/N85,1),"")</f>
        <v/>
      </c>
      <c r="P85" s="107">
        <f>IFERROR(IF(O85="CF+","✅ CF+",IF(O85&lt;4,"🔴 &lt;4Q",IF(O85&lt;8,"🟡 4-8Q","🟢 &gt;8Q"))),"—")</f>
        <v/>
      </c>
      <c r="Q85" s="108">
        <f>IFERROR(L85-M85,"")</f>
        <v/>
      </c>
      <c r="R85" s="109" t="n">
        <v>77</v>
      </c>
      <c r="S85" s="109" t="n">
        <v>6.45</v>
      </c>
      <c r="T85" s="110" t="inlineStr">
        <is>
          <t>Nektar Therapeutics, a biopharmaceutical company, focuses on discovering and developing therapies that selectively modulate the immune system to treat autoimmune disorders in the United States and int</t>
        </is>
      </c>
    </row>
    <row r="86" ht="30" customHeight="1" s="89">
      <c r="A86" s="111" t="inlineStr">
        <is>
          <t>ZLAB</t>
        </is>
      </c>
      <c r="B86" s="112" t="inlineStr">
        <is>
          <t>Zai Lab Limited</t>
        </is>
      </c>
      <c r="C86" s="113" t="inlineStr">
        <is>
          <t>NGM (ADR)</t>
        </is>
      </c>
      <c r="D86" s="114" t="inlineStr"/>
      <c r="E86" s="112" t="inlineStr"/>
      <c r="F86" s="114" t="inlineStr"/>
      <c r="G86" s="112" t="inlineStr"/>
      <c r="H86" s="114" t="inlineStr"/>
      <c r="I86" s="113" t="inlineStr"/>
      <c r="J86" s="112" t="inlineStr"/>
      <c r="K86" s="112" t="inlineStr"/>
      <c r="L86" s="115" t="n">
        <v>2032.5</v>
      </c>
      <c r="M86" s="115" t="n">
        <v>689.6</v>
      </c>
      <c r="N86" s="122" t="n">
        <v>29</v>
      </c>
      <c r="O86" s="117">
        <f>IFERROR(ROUND(M86/N86,1),"")</f>
        <v/>
      </c>
      <c r="P86" s="118">
        <f>IFERROR(IF(O86="CF+","✅ CF+",IF(O86&lt;4,"🔴 &lt;4Q",IF(O86&lt;8,"🟡 4-8Q","🟢 &gt;8Q"))),"—")</f>
        <v/>
      </c>
      <c r="Q86" s="119">
        <f>IFERROR(L86-M86,"")</f>
        <v/>
      </c>
      <c r="R86" s="120" t="n">
        <v>44.34</v>
      </c>
      <c r="S86" s="120" t="n">
        <v>15.96</v>
      </c>
      <c r="T86" s="121" t="inlineStr">
        <is>
          <t>Zai Lab Limited, a biopharmaceutical company, focuses on discovering, developing, and commercializing products that address medical conditions in the areas of oncology, immunology, neuroscience, and i</t>
        </is>
      </c>
    </row>
    <row r="87" ht="30" customHeight="1" s="89">
      <c r="A87" s="100" t="inlineStr">
        <is>
          <t>ADPT</t>
        </is>
      </c>
      <c r="B87" s="101" t="inlineStr">
        <is>
          <t>Adaptive Biotechnologies Corporation</t>
        </is>
      </c>
      <c r="C87" s="102" t="inlineStr">
        <is>
          <t>NASDAQ</t>
        </is>
      </c>
      <c r="D87" s="103" t="inlineStr"/>
      <c r="E87" s="101" t="inlineStr"/>
      <c r="F87" s="103" t="inlineStr"/>
      <c r="G87" s="101" t="inlineStr"/>
      <c r="H87" s="103" t="inlineStr"/>
      <c r="I87" s="102" t="inlineStr"/>
      <c r="J87" s="101" t="inlineStr"/>
      <c r="K87" s="101" t="inlineStr"/>
      <c r="L87" s="104" t="n">
        <v>2027.9</v>
      </c>
      <c r="M87" s="104" t="n">
        <v>227</v>
      </c>
      <c r="N87" s="123" t="n">
        <v>2.5</v>
      </c>
      <c r="O87" s="106">
        <f>IFERROR(ROUND(M87/N87,1),"")</f>
        <v/>
      </c>
      <c r="P87" s="107">
        <f>IFERROR(IF(O87="CF+","✅ CF+",IF(O87&lt;4,"🔴 &lt;4Q",IF(O87&lt;8,"🟡 4-8Q","🟢 &gt;8Q"))),"—")</f>
        <v/>
      </c>
      <c r="Q87" s="108">
        <f>IFERROR(L87-M87,"")</f>
        <v/>
      </c>
      <c r="R87" s="109" t="n">
        <v>20.76</v>
      </c>
      <c r="S87" s="109" t="n">
        <v>6.67</v>
      </c>
      <c r="T87" s="110" t="inlineStr">
        <is>
          <t>Adaptive Biotechnologies Corporation, a commercial-stage company, develops an immune medicine platform for the diagnosis and treatment of various diseases. The company offers immunosequencing platform</t>
        </is>
      </c>
    </row>
    <row r="88" ht="30" customHeight="1" s="89">
      <c r="A88" s="111" t="inlineStr">
        <is>
          <t>PAHC</t>
        </is>
      </c>
      <c r="B88" s="112" t="inlineStr">
        <is>
          <t>Phibro Animal Health Corporation</t>
        </is>
      </c>
      <c r="C88" s="113" t="inlineStr">
        <is>
          <t>NGM</t>
        </is>
      </c>
      <c r="D88" s="114" t="inlineStr"/>
      <c r="E88" s="112" t="inlineStr"/>
      <c r="F88" s="114" t="inlineStr"/>
      <c r="G88" s="112" t="inlineStr"/>
      <c r="H88" s="114" t="inlineStr"/>
      <c r="I88" s="113" t="inlineStr"/>
      <c r="J88" s="112" t="inlineStr"/>
      <c r="K88" s="112" t="inlineStr"/>
      <c r="L88" s="115" t="n">
        <v>2005.3</v>
      </c>
      <c r="M88" s="115" t="n">
        <v>74.8</v>
      </c>
      <c r="N88" s="116" t="n"/>
      <c r="O88" s="117" t="inlineStr">
        <is>
          <t>CF+</t>
        </is>
      </c>
      <c r="P88" s="118" t="inlineStr">
        <is>
          <t>✅ CF+</t>
        </is>
      </c>
      <c r="Q88" s="119">
        <f>IFERROR(L88-M88,"")</f>
        <v/>
      </c>
      <c r="R88" s="120" t="n">
        <v>56.3</v>
      </c>
      <c r="S88" s="120" t="n">
        <v>16.16</v>
      </c>
      <c r="T88" s="121" t="inlineStr">
        <is>
          <t>Phibro Animal Health Corporation operates as an animal health and mineral nutrition company in the United States, Latin America and Canada, Europe, the Middle East, Africa, and the Asia Pacific. It op</t>
        </is>
      </c>
    </row>
    <row r="89" ht="30" customHeight="1" s="89">
      <c r="A89" s="100" t="inlineStr">
        <is>
          <t>NEOG</t>
        </is>
      </c>
      <c r="B89" s="101" t="inlineStr">
        <is>
          <t>Neogen Corporation</t>
        </is>
      </c>
      <c r="C89" s="102" t="inlineStr">
        <is>
          <t>NASDAQ</t>
        </is>
      </c>
      <c r="D89" s="103" t="inlineStr"/>
      <c r="E89" s="101" t="inlineStr"/>
      <c r="F89" s="103" t="inlineStr"/>
      <c r="G89" s="101" t="inlineStr"/>
      <c r="H89" s="103" t="inlineStr"/>
      <c r="I89" s="102" t="inlineStr"/>
      <c r="J89" s="101" t="inlineStr"/>
      <c r="K89" s="101" t="inlineStr"/>
      <c r="L89" s="104" t="n">
        <v>1977.3</v>
      </c>
      <c r="M89" s="104" t="n">
        <v>145.3</v>
      </c>
      <c r="N89" s="105" t="n"/>
      <c r="O89" s="106" t="inlineStr">
        <is>
          <t>CF+</t>
        </is>
      </c>
      <c r="P89" s="107" t="inlineStr">
        <is>
          <t>✅ CF+</t>
        </is>
      </c>
      <c r="Q89" s="108">
        <f>IFERROR(L89-M89,"")</f>
        <v/>
      </c>
      <c r="R89" s="109" t="n">
        <v>11.43</v>
      </c>
      <c r="S89" s="109" t="n">
        <v>3.87</v>
      </c>
      <c r="T89" s="110" t="inlineStr">
        <is>
          <t xml:space="preserve">Neogen Corporation develops, manufactures, and markets various products and services for food and animal safety in the United States and internationally. It operates through two segments, Food Safety </t>
        </is>
      </c>
    </row>
    <row r="90" ht="30" customHeight="1" s="89">
      <c r="A90" s="111" t="inlineStr">
        <is>
          <t>CLDX</t>
        </is>
      </c>
      <c r="B90" s="112" t="inlineStr">
        <is>
          <t>Celldex Therapeutics, Inc.</t>
        </is>
      </c>
      <c r="C90" s="113" t="inlineStr">
        <is>
          <t>NASDAQ</t>
        </is>
      </c>
      <c r="D90" s="174" t="inlineStr">
        <is>
          <t>Oncology</t>
        </is>
      </c>
      <c r="E90" s="112" t="inlineStr">
        <is>
          <t>Advanced Breast Carcinoma</t>
        </is>
      </c>
      <c r="F90" s="173" t="inlineStr">
        <is>
          <t>Monoclonal Ab (mAb)</t>
        </is>
      </c>
      <c r="G90" s="112" t="inlineStr">
        <is>
          <t>ONT-10, Varlilumab combination</t>
        </is>
      </c>
      <c r="H90" s="174" t="inlineStr">
        <is>
          <t>Phase 1</t>
        </is>
      </c>
      <c r="I90" s="113" t="inlineStr">
        <is>
          <t>Jun 2016</t>
        </is>
      </c>
      <c r="J90" s="112" t="inlineStr">
        <is>
          <t>Phase 1 Data / Dose Escalation</t>
        </is>
      </c>
      <c r="K90" s="112" t="inlineStr">
        <is>
          <t>Celldex Therapeutics</t>
        </is>
      </c>
      <c r="L90" s="115" t="n">
        <v>1964.4</v>
      </c>
      <c r="M90" s="115" t="n">
        <v>518.6</v>
      </c>
      <c r="N90" s="122" t="n">
        <v>56.3</v>
      </c>
      <c r="O90" s="117">
        <f>IFERROR(ROUND(M90/N90,1),"")</f>
        <v/>
      </c>
      <c r="P90" s="118">
        <f>IFERROR(IF(O90="CF+","✅ CF+",IF(O90&lt;4,"🔴 &lt;4Q",IF(O90&lt;8,"🟡 4-8Q","🟢 &gt;8Q"))),"—")</f>
        <v/>
      </c>
      <c r="Q90" s="119">
        <f>IFERROR(L90-M90,"")</f>
        <v/>
      </c>
      <c r="R90" s="120" t="n">
        <v>31.99</v>
      </c>
      <c r="S90" s="120" t="n">
        <v>14.4</v>
      </c>
      <c r="T90" s="121" t="inlineStr">
        <is>
          <t>Celldex Therapeutics, Inc., a biopharmaceutical company, engages in developing therapeutic antibodies for patients with severe inflammatory, allergic, autoimmune, and other diseases. The company's dru</t>
        </is>
      </c>
    </row>
    <row r="91" ht="30" customHeight="1" s="89">
      <c r="A91" s="100" t="inlineStr">
        <is>
          <t>TYRA</t>
        </is>
      </c>
      <c r="B91" s="101" t="inlineStr">
        <is>
          <t>Tyra Biosciences, Inc.</t>
        </is>
      </c>
      <c r="C91" s="102" t="inlineStr">
        <is>
          <t>NASDAQ</t>
        </is>
      </c>
      <c r="D91" s="174" t="inlineStr">
        <is>
          <t>Oncology</t>
        </is>
      </c>
      <c r="E91" s="101" t="inlineStr">
        <is>
          <t>Achondroplasia</t>
        </is>
      </c>
      <c r="F91" s="171" t="inlineStr">
        <is>
          <t>Small Molecule</t>
        </is>
      </c>
      <c r="G91" s="101" t="inlineStr">
        <is>
          <t>TYRA-300 0.125 mg/kg</t>
        </is>
      </c>
      <c r="H91" s="168" t="inlineStr">
        <is>
          <t>Phase 2</t>
        </is>
      </c>
      <c r="I91" s="102" t="inlineStr">
        <is>
          <t>Jan 2030</t>
        </is>
      </c>
      <c r="J91" s="101" t="inlineStr">
        <is>
          <t>Phase 2 Data Readout</t>
        </is>
      </c>
      <c r="K91" s="101" t="inlineStr"/>
      <c r="L91" s="104" t="n">
        <v>1951.1</v>
      </c>
      <c r="M91" s="104" t="n">
        <v>256</v>
      </c>
      <c r="N91" s="123" t="n">
        <v>23</v>
      </c>
      <c r="O91" s="106">
        <f>IFERROR(ROUND(M91/N91,1),"")</f>
        <v/>
      </c>
      <c r="P91" s="107">
        <f>IFERROR(IF(O91="CF+","✅ CF+",IF(O91&lt;4,"🔴 &lt;4Q",IF(O91&lt;8,"🟡 4-8Q","🟢 &gt;8Q"))),"—")</f>
        <v/>
      </c>
      <c r="Q91" s="108">
        <f>IFERROR(L91-M91,"")</f>
        <v/>
      </c>
      <c r="R91" s="109" t="n">
        <v>36.96</v>
      </c>
      <c r="S91" s="109" t="n">
        <v>6.42</v>
      </c>
      <c r="T91" s="110" t="inlineStr">
        <is>
          <t>Tyra Biosciences, Inc., a clinical-stage biotechnology company, develops precision medicines for fibroblast growth factor receptor (FGFR) biology in the United States. The company offers SNÅP, a preci</t>
        </is>
      </c>
    </row>
    <row r="92" ht="30" customHeight="1" s="89">
      <c r="A92" s="111" t="inlineStr">
        <is>
          <t>STOK</t>
        </is>
      </c>
      <c r="B92" s="112" t="inlineStr">
        <is>
          <t>Stoke Therapeutics, Inc.</t>
        </is>
      </c>
      <c r="C92" s="113" t="inlineStr">
        <is>
          <t>NASDAQ</t>
        </is>
      </c>
      <c r="D92" s="177" t="inlineStr">
        <is>
          <t>CNS</t>
        </is>
      </c>
      <c r="E92" s="112" t="inlineStr">
        <is>
          <t>Dravet Syndrome</t>
        </is>
      </c>
      <c r="F92" s="171" t="inlineStr">
        <is>
          <t>Small Molecule</t>
        </is>
      </c>
      <c r="G92" s="112" t="inlineStr">
        <is>
          <t>zorevunersen</t>
        </is>
      </c>
      <c r="H92" s="172" t="inlineStr">
        <is>
          <t>Phase 3</t>
        </is>
      </c>
      <c r="I92" s="113" t="inlineStr">
        <is>
          <t>Mar 2027</t>
        </is>
      </c>
      <c r="J92" s="112" t="inlineStr">
        <is>
          <t>Phase 3 Readout</t>
        </is>
      </c>
      <c r="K92" s="112" t="inlineStr"/>
      <c r="L92" s="115" t="n">
        <v>1895.7</v>
      </c>
      <c r="M92" s="115" t="n">
        <v>248.3</v>
      </c>
      <c r="N92" s="122" t="n">
        <v>27.9</v>
      </c>
      <c r="O92" s="117">
        <f>IFERROR(ROUND(M92/N92,1),"")</f>
        <v/>
      </c>
      <c r="P92" s="118">
        <f>IFERROR(IF(O92="CF+","✅ CF+",IF(O92&lt;4,"🔴 &lt;4Q",IF(O92&lt;8,"🟡 4-8Q","🟢 &gt;8Q"))),"—")</f>
        <v/>
      </c>
      <c r="Q92" s="119">
        <f>IFERROR(L92-M92,"")</f>
        <v/>
      </c>
      <c r="R92" s="120" t="n">
        <v>40.22</v>
      </c>
      <c r="S92" s="120" t="n">
        <v>5.35</v>
      </c>
      <c r="T92" s="121" t="inlineStr">
        <is>
          <t>Stoke Therapeutics, Inc., an early-stage biopharmaceutical company, engages in the development of treatments for severe genetic diseases by upregulating protein expression. The company utilizes its pr</t>
        </is>
      </c>
    </row>
    <row r="93" ht="30" customHeight="1" s="89">
      <c r="A93" s="100" t="inlineStr">
        <is>
          <t>ANAB</t>
        </is>
      </c>
      <c r="B93" s="101" t="inlineStr">
        <is>
          <t>AnaptysBio, Inc.</t>
        </is>
      </c>
      <c r="C93" s="102" t="inlineStr">
        <is>
          <t>NASDAQ</t>
        </is>
      </c>
      <c r="D93" s="178" t="inlineStr">
        <is>
          <t>Immunology</t>
        </is>
      </c>
      <c r="E93" s="101" t="inlineStr">
        <is>
          <t>Rheumatoid Arthritis</t>
        </is>
      </c>
      <c r="F93" s="173" t="inlineStr">
        <is>
          <t>Monoclonal Ab (mAb)</t>
        </is>
      </c>
      <c r="G93" s="101" t="inlineStr">
        <is>
          <t>Rosnilimab</t>
        </is>
      </c>
      <c r="H93" s="168" t="inlineStr">
        <is>
          <t>Phase 2</t>
        </is>
      </c>
      <c r="I93" s="102" t="inlineStr">
        <is>
          <t>Nov 2024</t>
        </is>
      </c>
      <c r="J93" s="101" t="inlineStr">
        <is>
          <t>Phase 2 Data Readout</t>
        </is>
      </c>
      <c r="K93" s="101" t="inlineStr"/>
      <c r="L93" s="104" t="n">
        <v>1863.2</v>
      </c>
      <c r="M93" s="104" t="n">
        <v>311.6</v>
      </c>
      <c r="N93" s="105" t="n"/>
      <c r="O93" s="106" t="inlineStr">
        <is>
          <t>CF+</t>
        </is>
      </c>
      <c r="P93" s="107" t="inlineStr">
        <is>
          <t>✅ CF+</t>
        </is>
      </c>
      <c r="Q93" s="108">
        <f>IFERROR(L93-M93,"")</f>
        <v/>
      </c>
      <c r="R93" s="109" t="n">
        <v>66.66</v>
      </c>
      <c r="S93" s="109" t="n">
        <v>15.32</v>
      </c>
      <c r="T93" s="110" t="inlineStr">
        <is>
          <t>AnaptysBio, Inc., a clinical-stage biotechnology company, focuses in delivering immunology therapeutics for autoimmune and inflammatory diseases in the United States. The company's products include Ro</t>
        </is>
      </c>
    </row>
    <row r="94" ht="30" customHeight="1" s="89">
      <c r="A94" s="111" t="inlineStr">
        <is>
          <t>RLAY</t>
        </is>
      </c>
      <c r="B94" s="112" t="inlineStr">
        <is>
          <t>Relay Therapeutics, Inc.</t>
        </is>
      </c>
      <c r="C94" s="113" t="inlineStr">
        <is>
          <t>NGM</t>
        </is>
      </c>
      <c r="D94" s="174" t="inlineStr">
        <is>
          <t>Oncology</t>
        </is>
      </c>
      <c r="E94" s="112" t="inlineStr">
        <is>
          <t>PIK3CA Mutation</t>
        </is>
      </c>
      <c r="F94" s="171" t="inlineStr">
        <is>
          <t>Small Molecule</t>
        </is>
      </c>
      <c r="G94" s="112" t="inlineStr">
        <is>
          <t>RLY-2608</t>
        </is>
      </c>
      <c r="H94" s="172" t="inlineStr">
        <is>
          <t>Phase 3</t>
        </is>
      </c>
      <c r="I94" s="113" t="inlineStr">
        <is>
          <t>Apr 2028</t>
        </is>
      </c>
      <c r="J94" s="112" t="inlineStr">
        <is>
          <t>Phase 3 Readout</t>
        </is>
      </c>
      <c r="K94" s="112" t="inlineStr"/>
      <c r="L94" s="115" t="n">
        <v>1851.6</v>
      </c>
      <c r="M94" s="115" t="n">
        <v>554.5</v>
      </c>
      <c r="N94" s="122" t="n">
        <v>53.5</v>
      </c>
      <c r="O94" s="117">
        <f>IFERROR(ROUND(M94/N94,1),"")</f>
        <v/>
      </c>
      <c r="P94" s="118">
        <f>IFERROR(IF(O94="CF+","✅ CF+",IF(O94&lt;4,"🔴 &lt;4Q",IF(O94&lt;8,"🟡 4-8Q","🟢 &gt;8Q"))),"—")</f>
        <v/>
      </c>
      <c r="Q94" s="119">
        <f>IFERROR(L94-M94,"")</f>
        <v/>
      </c>
      <c r="R94" s="120" t="n">
        <v>11.49</v>
      </c>
      <c r="S94" s="120" t="n">
        <v>1.77</v>
      </c>
      <c r="T94" s="121" t="inlineStr">
        <is>
          <t>Relay Therapeutics, Inc. operates as a clinical-stage precision medicines company. It transforms the drug discovery process with a focus on enhancing small molecule therapeutic discovery in targeted o</t>
        </is>
      </c>
    </row>
    <row r="95" ht="30" customHeight="1" s="89">
      <c r="A95" s="100" t="inlineStr">
        <is>
          <t>RXRX</t>
        </is>
      </c>
      <c r="B95" s="101" t="inlineStr">
        <is>
          <t>Recursion Pharmaceuticals, Inc.</t>
        </is>
      </c>
      <c r="C95" s="102" t="inlineStr">
        <is>
          <t>NASDAQ</t>
        </is>
      </c>
      <c r="D95" s="174" t="inlineStr">
        <is>
          <t>Oncology</t>
        </is>
      </c>
      <c r="E95" s="101" t="inlineStr">
        <is>
          <t>Cerebral Cavernous Malformation</t>
        </is>
      </c>
      <c r="F95" s="171" t="inlineStr">
        <is>
          <t>Small Molecule</t>
        </is>
      </c>
      <c r="G95" s="101" t="inlineStr">
        <is>
          <t>REC-994</t>
        </is>
      </c>
      <c r="H95" s="168" t="inlineStr">
        <is>
          <t>Phase 2</t>
        </is>
      </c>
      <c r="I95" s="102" t="inlineStr">
        <is>
          <t>Jun 2025</t>
        </is>
      </c>
      <c r="J95" s="101" t="inlineStr">
        <is>
          <t>Phase 2 Data Readout</t>
        </is>
      </c>
      <c r="K95" s="101" t="inlineStr"/>
      <c r="L95" s="104" t="n">
        <v>1806.5</v>
      </c>
      <c r="M95" s="104" t="n">
        <v>743.3</v>
      </c>
      <c r="N95" s="123" t="n">
        <v>81.7</v>
      </c>
      <c r="O95" s="106">
        <f>IFERROR(ROUND(M95/N95,1),"")</f>
        <v/>
      </c>
      <c r="P95" s="107">
        <f>IFERROR(IF(O95="CF+","✅ CF+",IF(O95&lt;4,"🔴 &lt;4Q",IF(O95&lt;8,"🟡 4-8Q","🟢 &gt;8Q"))),"—")</f>
        <v/>
      </c>
      <c r="Q95" s="108">
        <f>IFERROR(L95-M95,"")</f>
        <v/>
      </c>
      <c r="R95" s="109" t="n">
        <v>7.18</v>
      </c>
      <c r="S95" s="109" t="n">
        <v>2.98</v>
      </c>
      <c r="T95" s="110" t="inlineStr">
        <is>
          <t>Recursion Pharmaceuticals, Inc., a clinical-stage biotechnology company, engages in the decoding biology and chemistry by integrating technological innovations across biology, chemistry, automation, d</t>
        </is>
      </c>
    </row>
    <row r="96" ht="30" customHeight="1" s="89">
      <c r="A96" s="111" t="inlineStr">
        <is>
          <t>SRPT</t>
        </is>
      </c>
      <c r="B96" s="112" t="inlineStr">
        <is>
          <t>Sarepta Therapeutics, Inc.</t>
        </is>
      </c>
      <c r="C96" s="113" t="inlineStr">
        <is>
          <t>NASDAQ</t>
        </is>
      </c>
      <c r="D96" s="174" t="inlineStr">
        <is>
          <t>Oncology</t>
        </is>
      </c>
      <c r="E96" s="112" t="inlineStr">
        <is>
          <t>Limb-girdle Muscular Dystrophy</t>
        </is>
      </c>
      <c r="F96" s="173" t="inlineStr">
        <is>
          <t>Monoclonal Ab (mAb)</t>
        </is>
      </c>
      <c r="G96" s="112" t="inlineStr">
        <is>
          <t>SRP-9003</t>
        </is>
      </c>
      <c r="H96" s="172" t="inlineStr">
        <is>
          <t>Phase 3</t>
        </is>
      </c>
      <c r="I96" s="113" t="inlineStr">
        <is>
          <t>Mar 2025</t>
        </is>
      </c>
      <c r="J96" s="112" t="inlineStr">
        <is>
          <t>Phase 3 Readout</t>
        </is>
      </c>
      <c r="K96" s="112" t="inlineStr"/>
      <c r="L96" s="115" t="n">
        <v>1721.8</v>
      </c>
      <c r="M96" s="115" t="n">
        <v>939.6</v>
      </c>
      <c r="N96" s="122" t="n">
        <v>51.4</v>
      </c>
      <c r="O96" s="117">
        <f>IFERROR(ROUND(M96/N96,1),"")</f>
        <v/>
      </c>
      <c r="P96" s="118">
        <f>IFERROR(IF(O96="CF+","✅ CF+",IF(O96&lt;4,"🔴 &lt;4Q",IF(O96&lt;8,"🟡 4-8Q","🟢 &gt;8Q"))),"—")</f>
        <v/>
      </c>
      <c r="Q96" s="119">
        <f>IFERROR(L96-M96,"")</f>
        <v/>
      </c>
      <c r="R96" s="120" t="n">
        <v>103.32</v>
      </c>
      <c r="S96" s="120" t="n">
        <v>10.42</v>
      </c>
      <c r="T96" s="121" t="inlineStr">
        <is>
          <t>Sarepta Therapeutics, Inc., a commercial-stage biopharmaceutical company, focuses on the discovery and development of RNA-targeted therapeutics, siRNA platform, gene therapy, and other genetic therape</t>
        </is>
      </c>
    </row>
    <row r="97" ht="30" customHeight="1" s="89">
      <c r="A97" s="100" t="inlineStr">
        <is>
          <t>ZYME</t>
        </is>
      </c>
      <c r="B97" s="101" t="inlineStr">
        <is>
          <t>Zymeworks Inc.</t>
        </is>
      </c>
      <c r="C97" s="102" t="inlineStr">
        <is>
          <t>NASDAQ</t>
        </is>
      </c>
      <c r="D97" s="174" t="inlineStr">
        <is>
          <t>Oncology</t>
        </is>
      </c>
      <c r="E97" s="101" t="inlineStr">
        <is>
          <t>Biliary Tract Neoplasms</t>
        </is>
      </c>
      <c r="F97" s="173" t="inlineStr">
        <is>
          <t>Monoclonal Ab (mAb)</t>
        </is>
      </c>
      <c r="G97" s="101" t="inlineStr">
        <is>
          <t>Futibatinib</t>
        </is>
      </c>
      <c r="H97" s="172" t="inlineStr">
        <is>
          <t>Phase 3</t>
        </is>
      </c>
      <c r="I97" s="102" t="inlineStr">
        <is>
          <t>Jun 2027</t>
        </is>
      </c>
      <c r="J97" s="101" t="inlineStr">
        <is>
          <t>Phase 3 Readout</t>
        </is>
      </c>
      <c r="K97" s="101" t="inlineStr">
        <is>
          <t>Cancer Research UK &amp; UCL Cancer Trials Centre; Belgian Group of Digestive Oncology; National Cancer Institute, France</t>
        </is>
      </c>
      <c r="L97" s="104" t="n">
        <v>1700</v>
      </c>
      <c r="M97" s="104" t="n">
        <v>228.8</v>
      </c>
      <c r="N97" s="123" t="n">
        <v>20.8</v>
      </c>
      <c r="O97" s="106">
        <f>IFERROR(ROUND(M97/N97,1),"")</f>
        <v/>
      </c>
      <c r="P97" s="107">
        <f>IFERROR(IF(O97="CF+","✅ CF+",IF(O97&lt;4,"🔴 &lt;4Q",IF(O97&lt;8,"🟡 4-8Q","🟢 &gt;8Q"))),"—")</f>
        <v/>
      </c>
      <c r="Q97" s="108">
        <f>IFERROR(L97-M97,"")</f>
        <v/>
      </c>
      <c r="R97" s="109" t="n">
        <v>28.49</v>
      </c>
      <c r="S97" s="109" t="n">
        <v>9.029999999999999</v>
      </c>
      <c r="T97" s="110" t="inlineStr">
        <is>
          <t>Zymeworks Inc., a biotechnology company, develops biotherapeutics for the treatment of cancer, inflammation, and autoimmune diseases. The company's platforms include Azymetric multispecific antibody p</t>
        </is>
      </c>
    </row>
    <row r="98" ht="30" customHeight="1" s="89">
      <c r="A98" s="111" t="inlineStr">
        <is>
          <t>RAPT</t>
        </is>
      </c>
      <c r="B98" s="112" t="inlineStr">
        <is>
          <t>RAPT Therapeutics Inc</t>
        </is>
      </c>
      <c r="C98" s="113" t="inlineStr">
        <is>
          <t>NGM</t>
        </is>
      </c>
      <c r="D98" s="174" t="inlineStr">
        <is>
          <t>Oncology</t>
        </is>
      </c>
      <c r="E98" s="112" t="inlineStr">
        <is>
          <t>Ig-E Mediated Food Allergy</t>
        </is>
      </c>
      <c r="F98" s="171" t="inlineStr">
        <is>
          <t>Small Molecule</t>
        </is>
      </c>
      <c r="G98" s="112" t="inlineStr">
        <is>
          <t>RPT904</t>
        </is>
      </c>
      <c r="H98" s="168" t="inlineStr">
        <is>
          <t>Phase 2</t>
        </is>
      </c>
      <c r="I98" s="113" t="inlineStr">
        <is>
          <t>Apr 2027</t>
        </is>
      </c>
      <c r="J98" s="112" t="inlineStr">
        <is>
          <t>Phase 2 Data Readout</t>
        </is>
      </c>
      <c r="K98" s="112" t="inlineStr"/>
      <c r="L98" s="115" t="n">
        <v>1680.3</v>
      </c>
      <c r="M98" s="115" t="n">
        <v>157.3</v>
      </c>
      <c r="N98" s="122" t="n">
        <v>11.9</v>
      </c>
      <c r="O98" s="117">
        <f>IFERROR(ROUND(M98/N98,1),"")</f>
        <v/>
      </c>
      <c r="P98" s="118">
        <f>IFERROR(IF(O98="CF+","✅ CF+",IF(O98&lt;4,"🔴 &lt;4Q",IF(O98&lt;8,"🟡 4-8Q","🟢 &gt;8Q"))),"—")</f>
        <v/>
      </c>
      <c r="Q98" s="119">
        <f>IFERROR(L98-M98,"")</f>
        <v/>
      </c>
      <c r="R98" s="120" t="n">
        <v>58.02</v>
      </c>
      <c r="S98" s="120" t="n">
        <v>5.67</v>
      </c>
      <c r="T98" s="121" t="inlineStr">
        <is>
          <t>RAPT Therapeutics, Inc. operates as a clinical-stage immunology-based biopharmaceutical company that focuses on the discovery, development, and commercialization of oral small molecule therapies for p</t>
        </is>
      </c>
    </row>
    <row r="99" ht="30" customHeight="1" s="89">
      <c r="A99" s="100" t="inlineStr">
        <is>
          <t>NVAX</t>
        </is>
      </c>
      <c r="B99" s="101" t="inlineStr">
        <is>
          <t>Novavax, Inc.</t>
        </is>
      </c>
      <c r="C99" s="102" t="inlineStr">
        <is>
          <t>NASDAQ</t>
        </is>
      </c>
      <c r="D99" s="103" t="inlineStr"/>
      <c r="E99" s="101" t="inlineStr"/>
      <c r="F99" s="103" t="inlineStr"/>
      <c r="G99" s="101" t="inlineStr"/>
      <c r="H99" s="103" t="inlineStr"/>
      <c r="I99" s="102" t="inlineStr"/>
      <c r="J99" s="101" t="inlineStr"/>
      <c r="K99" s="101" t="inlineStr"/>
      <c r="L99" s="104" t="n">
        <v>1667.6</v>
      </c>
      <c r="M99" s="104" t="n">
        <v>735.1</v>
      </c>
      <c r="N99" s="123" t="n">
        <v>61.2</v>
      </c>
      <c r="O99" s="106">
        <f>IFERROR(ROUND(M99/N99,1),"")</f>
        <v/>
      </c>
      <c r="P99" s="107">
        <f>IFERROR(IF(O99="CF+","✅ CF+",IF(O99&lt;4,"🔴 &lt;4Q",IF(O99&lt;8,"🟡 4-8Q","🟢 &gt;8Q"))),"—")</f>
        <v/>
      </c>
      <c r="Q99" s="108">
        <f>IFERROR(L99-M99,"")</f>
        <v/>
      </c>
      <c r="R99" s="109" t="n">
        <v>11.97</v>
      </c>
      <c r="S99" s="109" t="n">
        <v>5.01</v>
      </c>
      <c r="T99" s="110" t="inlineStr">
        <is>
          <t>Novavax, Inc., a biotechnology company, engages in the discovery, development, and commercialization of vaccines to prevent serious infectious diseases in the United States, Europe, and internationall</t>
        </is>
      </c>
    </row>
    <row r="100" ht="30" customHeight="1" s="89">
      <c r="A100" s="111" t="inlineStr">
        <is>
          <t>VCEL</t>
        </is>
      </c>
      <c r="B100" s="112" t="inlineStr">
        <is>
          <t>Vericel Corporation</t>
        </is>
      </c>
      <c r="C100" s="113" t="inlineStr">
        <is>
          <t>NGM</t>
        </is>
      </c>
      <c r="D100" s="168" t="inlineStr">
        <is>
          <t>Cardiometabolic</t>
        </is>
      </c>
      <c r="E100" s="112" t="inlineStr">
        <is>
          <t>Chondral Defect</t>
        </is>
      </c>
      <c r="F100" s="173" t="inlineStr">
        <is>
          <t>Monoclonal Ab (mAb)</t>
        </is>
      </c>
      <c r="G100" s="112" t="inlineStr">
        <is>
          <t>autologous cultured chondrocytes on porcine collagen membran</t>
        </is>
      </c>
      <c r="H100" s="172" t="inlineStr">
        <is>
          <t>Phase 3</t>
        </is>
      </c>
      <c r="I100" s="113" t="inlineStr">
        <is>
          <t>Jul 2030</t>
        </is>
      </c>
      <c r="J100" s="112" t="inlineStr">
        <is>
          <t>Commercial / Label Expansion</t>
        </is>
      </c>
      <c r="K100" s="112" t="inlineStr"/>
      <c r="L100" s="115" t="n">
        <v>1651.6</v>
      </c>
      <c r="M100" s="115" t="n">
        <v>137.5</v>
      </c>
      <c r="N100" s="116" t="n"/>
      <c r="O100" s="117" t="inlineStr">
        <is>
          <t>CF+</t>
        </is>
      </c>
      <c r="P100" s="118" t="inlineStr">
        <is>
          <t>✅ CF+</t>
        </is>
      </c>
      <c r="Q100" s="119">
        <f>IFERROR(L100-M100,"")</f>
        <v/>
      </c>
      <c r="R100" s="120" t="n">
        <v>48.75</v>
      </c>
      <c r="S100" s="120" t="n">
        <v>29.24</v>
      </c>
      <c r="T100" s="121" t="inlineStr">
        <is>
          <t xml:space="preserve">Vericel Corporation, a commercial-stage biopharmaceutical company, engages in the research, development, manufacture, and distribution of cellular therapies and specialty biologic products for sports </t>
        </is>
      </c>
    </row>
    <row r="101" ht="30" customHeight="1" s="89">
      <c r="A101" s="100" t="inlineStr">
        <is>
          <t>INVA</t>
        </is>
      </c>
      <c r="B101" s="101" t="inlineStr">
        <is>
          <t>Innoviva, Inc.</t>
        </is>
      </c>
      <c r="C101" s="102" t="inlineStr">
        <is>
          <t>NASDAQ</t>
        </is>
      </c>
      <c r="D101" s="169" t="inlineStr">
        <is>
          <t>Other</t>
        </is>
      </c>
      <c r="E101" s="101" t="inlineStr">
        <is>
          <t>Complicated Intra-abdominal Infections (cIAI)</t>
        </is>
      </c>
      <c r="F101" s="171" t="inlineStr">
        <is>
          <t>Small Molecule</t>
        </is>
      </c>
      <c r="G101" s="101" t="inlineStr">
        <is>
          <t>Eravacycline 2mg/kg</t>
        </is>
      </c>
      <c r="H101" s="168" t="inlineStr">
        <is>
          <t>Phase 2</t>
        </is>
      </c>
      <c r="I101" s="102" t="inlineStr">
        <is>
          <t>Feb 2029</t>
        </is>
      </c>
      <c r="J101" s="101" t="inlineStr">
        <is>
          <t>Phase 2 Data Readout</t>
        </is>
      </c>
      <c r="K101" s="101" t="inlineStr">
        <is>
          <t>Innoviva Specialty Therapeutics</t>
        </is>
      </c>
      <c r="L101" s="104" t="n">
        <v>1647.2</v>
      </c>
      <c r="M101" s="104" t="n">
        <v>566.7</v>
      </c>
      <c r="N101" s="105" t="n"/>
      <c r="O101" s="106" t="inlineStr">
        <is>
          <t>CF+</t>
        </is>
      </c>
      <c r="P101" s="107" t="inlineStr">
        <is>
          <t>✅ CF+</t>
        </is>
      </c>
      <c r="Q101" s="108">
        <f>IFERROR(L101-M101,"")</f>
        <v/>
      </c>
      <c r="R101" s="109" t="n">
        <v>25.15</v>
      </c>
      <c r="S101" s="109" t="n">
        <v>16.52</v>
      </c>
      <c r="T101" s="110" t="inlineStr">
        <is>
          <t>Innoviva, Inc. operates as a biopharmaceutical company in the United States and internationally. Its royalty portfolio includes RELVAR/BREO ELLIPTA, a once-daily combination medicine consisting of a L</t>
        </is>
      </c>
    </row>
    <row r="102" ht="30" customHeight="1" s="89">
      <c r="A102" s="111" t="inlineStr">
        <is>
          <t>AGIO</t>
        </is>
      </c>
      <c r="B102" s="112" t="inlineStr">
        <is>
          <t>Agios Pharmaceuticals, Inc.</t>
        </is>
      </c>
      <c r="C102" s="113" t="inlineStr">
        <is>
          <t>NASDAQ</t>
        </is>
      </c>
      <c r="D102" s="172" t="inlineStr">
        <is>
          <t>Rare Disease</t>
        </is>
      </c>
      <c r="E102" s="112" t="inlineStr">
        <is>
          <t>Transfusion-dependent Alpha-Thalassemia</t>
        </is>
      </c>
      <c r="F102" s="171" t="inlineStr">
        <is>
          <t>Small Molecule</t>
        </is>
      </c>
      <c r="G102" s="112" t="inlineStr">
        <is>
          <t>Mitapivat</t>
        </is>
      </c>
      <c r="H102" s="172" t="inlineStr">
        <is>
          <t>Phase 3</t>
        </is>
      </c>
      <c r="I102" s="113" t="inlineStr">
        <is>
          <t>Apr 2024</t>
        </is>
      </c>
      <c r="J102" s="112" t="inlineStr">
        <is>
          <t>Commercial / Label Expansion</t>
        </is>
      </c>
      <c r="K102" s="112" t="inlineStr"/>
      <c r="L102" s="115" t="n">
        <v>1631.8</v>
      </c>
      <c r="M102" s="115" t="n">
        <v>854.4</v>
      </c>
      <c r="N102" s="122" t="n">
        <v>92.2</v>
      </c>
      <c r="O102" s="117">
        <f>IFERROR(ROUND(M102/N102,1),"")</f>
        <v/>
      </c>
      <c r="P102" s="118">
        <f>IFERROR(IF(O102="CF+","✅ CF+",IF(O102&lt;4,"🔴 &lt;4Q",IF(O102&lt;8,"🟡 4-8Q","🟢 &gt;8Q"))),"—")</f>
        <v/>
      </c>
      <c r="Q102" s="119">
        <f>IFERROR(L102-M102,"")</f>
        <v/>
      </c>
      <c r="R102" s="120" t="n">
        <v>46</v>
      </c>
      <c r="S102" s="120" t="n">
        <v>22.24</v>
      </c>
      <c r="T102" s="121" t="inlineStr">
        <is>
          <t xml:space="preserve">Agios Pharmaceuticals, Inc., a biopharmaceutical company, discovers and develops medicines in the field of cellular metabolism in the United States. Its lead product includes PYRUKYND (mitapivat), an </t>
        </is>
      </c>
    </row>
    <row r="103" ht="30" customHeight="1" s="89">
      <c r="A103" s="100" t="inlineStr">
        <is>
          <t>IOVA</t>
        </is>
      </c>
      <c r="B103" s="101" t="inlineStr">
        <is>
          <t>Iovance Biotherapeutics, Inc.</t>
        </is>
      </c>
      <c r="C103" s="102" t="inlineStr">
        <is>
          <t>NGM</t>
        </is>
      </c>
      <c r="D103" s="174" t="inlineStr">
        <is>
          <t>Oncology</t>
        </is>
      </c>
      <c r="E103" s="101" t="inlineStr">
        <is>
          <t>Metastatic Melanoma</t>
        </is>
      </c>
      <c r="F103" s="173" t="inlineStr">
        <is>
          <t>Monoclonal Ab (mAb)</t>
        </is>
      </c>
      <c r="G103" s="101" t="inlineStr">
        <is>
          <t>Lifileucel plus Pembrolizumab</t>
        </is>
      </c>
      <c r="H103" s="172" t="inlineStr">
        <is>
          <t>Phase 3</t>
        </is>
      </c>
      <c r="I103" s="102" t="inlineStr">
        <is>
          <t>Mar 2028</t>
        </is>
      </c>
      <c r="J103" s="101" t="inlineStr">
        <is>
          <t>Phase 3 Readout</t>
        </is>
      </c>
      <c r="K103" s="101" t="inlineStr"/>
      <c r="L103" s="104" t="n">
        <v>1631.4</v>
      </c>
      <c r="M103" s="104" t="n">
        <v>297</v>
      </c>
      <c r="N103" s="123" t="n">
        <v>65.59999999999999</v>
      </c>
      <c r="O103" s="106">
        <f>IFERROR(ROUND(M103/N103,1),"")</f>
        <v/>
      </c>
      <c r="P103" s="107">
        <f>IFERROR(IF(O103="CF+","✅ CF+",IF(O103&lt;4,"🔴 &lt;4Q",IF(O103&lt;8,"🟡 4-8Q","🟢 &gt;8Q"))),"—")</f>
        <v/>
      </c>
      <c r="Q103" s="108">
        <f>IFERROR(L103-M103,"")</f>
        <v/>
      </c>
      <c r="R103" s="109" t="n">
        <v>5.63</v>
      </c>
      <c r="S103" s="109" t="n">
        <v>1.64</v>
      </c>
      <c r="T103" s="110" t="inlineStr">
        <is>
          <t>Iovance Biotherapeutics, Inc., a commercial-stage biopharmaceutical company, develops and commercializes cell therapies using autologous tumor infiltrating lymphocyte for the treatment of metastatic m</t>
        </is>
      </c>
    </row>
    <row r="104" ht="30" customHeight="1" s="89">
      <c r="A104" s="111" t="inlineStr">
        <is>
          <t>NBTX</t>
        </is>
      </c>
      <c r="B104" s="112" t="inlineStr">
        <is>
          <t>Nanobiotix S.A.</t>
        </is>
      </c>
      <c r="C104" s="113" t="inlineStr">
        <is>
          <t>NASDAQ (ADR)</t>
        </is>
      </c>
      <c r="D104" s="114" t="inlineStr"/>
      <c r="E104" s="112" t="inlineStr"/>
      <c r="F104" s="114" t="inlineStr"/>
      <c r="G104" s="112" t="inlineStr"/>
      <c r="H104" s="114" t="inlineStr"/>
      <c r="I104" s="113" t="inlineStr"/>
      <c r="J104" s="112" t="inlineStr"/>
      <c r="K104" s="112" t="inlineStr"/>
      <c r="L104" s="115" t="n">
        <v>1600.2</v>
      </c>
      <c r="M104" s="115" t="n">
        <v>28.8</v>
      </c>
      <c r="N104" s="122" t="n">
        <v>7.8</v>
      </c>
      <c r="O104" s="117">
        <f>IFERROR(ROUND(M104/N104,1),"")</f>
        <v/>
      </c>
      <c r="P104" s="118">
        <f>IFERROR(IF(O104="CF+","✅ CF+",IF(O104&lt;4,"🔴 &lt;4Q",IF(O104&lt;8,"🟡 4-8Q","🟢 &gt;8Q"))),"—")</f>
        <v/>
      </c>
      <c r="Q104" s="119">
        <f>IFERROR(L104-M104,"")</f>
        <v/>
      </c>
      <c r="R104" s="120" t="n">
        <v>41.89</v>
      </c>
      <c r="S104" s="120" t="n">
        <v>2.99</v>
      </c>
      <c r="T104" s="121" t="inlineStr">
        <is>
          <t>Nanobiotix S.A. operates as a clinical-stage biotechnology that focuses on developing product candidates for the treatment of cancer and other unmet medical needs. Its lead product candidate is NBTXR3</t>
        </is>
      </c>
    </row>
    <row r="105" ht="30" customHeight="1" s="89">
      <c r="A105" s="100" t="inlineStr">
        <is>
          <t>HRMY</t>
        </is>
      </c>
      <c r="B105" s="101" t="inlineStr">
        <is>
          <t>Harmony Biosciences Holdings, Inc.</t>
        </is>
      </c>
      <c r="C105" s="102" t="inlineStr">
        <is>
          <t>NGM</t>
        </is>
      </c>
      <c r="D105" s="103" t="inlineStr"/>
      <c r="E105" s="101" t="inlineStr"/>
      <c r="F105" s="103" t="inlineStr"/>
      <c r="G105" s="101" t="inlineStr"/>
      <c r="H105" s="103" t="inlineStr"/>
      <c r="I105" s="102" t="inlineStr"/>
      <c r="J105" s="101" t="inlineStr"/>
      <c r="K105" s="101" t="inlineStr"/>
      <c r="L105" s="104" t="n">
        <v>1597</v>
      </c>
      <c r="M105" s="104" t="n">
        <v>775.3</v>
      </c>
      <c r="N105" s="105" t="n"/>
      <c r="O105" s="106" t="inlineStr">
        <is>
          <t>CF+</t>
        </is>
      </c>
      <c r="P105" s="107" t="inlineStr">
        <is>
          <t>✅ CF+</t>
        </is>
      </c>
      <c r="Q105" s="108">
        <f>IFERROR(L105-M105,"")</f>
        <v/>
      </c>
      <c r="R105" s="109" t="n">
        <v>40.87</v>
      </c>
      <c r="S105" s="109" t="n">
        <v>25.52</v>
      </c>
      <c r="T105" s="110" t="inlineStr">
        <is>
          <t>Harmony Biosciences Holdings, Inc., a commercial-stage pharmaceutical company, focuses on developing and commercializing therapies for patients with rare neurological diseases in the United States. Th</t>
        </is>
      </c>
    </row>
    <row r="106" ht="30" customHeight="1" s="89">
      <c r="A106" s="111" t="inlineStr">
        <is>
          <t>ANIP</t>
        </is>
      </c>
      <c r="B106" s="112" t="inlineStr">
        <is>
          <t>ANI Pharmaceuticals, Inc.</t>
        </is>
      </c>
      <c r="C106" s="113" t="inlineStr">
        <is>
          <t>NGM</t>
        </is>
      </c>
      <c r="D106" s="114" t="inlineStr"/>
      <c r="E106" s="112" t="inlineStr"/>
      <c r="F106" s="114" t="inlineStr"/>
      <c r="G106" s="112" t="inlineStr"/>
      <c r="H106" s="114" t="inlineStr"/>
      <c r="I106" s="113" t="inlineStr"/>
      <c r="J106" s="112" t="inlineStr"/>
      <c r="K106" s="112" t="inlineStr"/>
      <c r="L106" s="115" t="n">
        <v>1583.1</v>
      </c>
      <c r="M106" s="115" t="n">
        <v>294.7</v>
      </c>
      <c r="N106" s="116" t="n"/>
      <c r="O106" s="117" t="inlineStr">
        <is>
          <t>CF+</t>
        </is>
      </c>
      <c r="P106" s="118" t="inlineStr">
        <is>
          <t>✅ CF+</t>
        </is>
      </c>
      <c r="Q106" s="119">
        <f>IFERROR(L106-M106,"")</f>
        <v/>
      </c>
      <c r="R106" s="120" t="n">
        <v>99.5</v>
      </c>
      <c r="S106" s="120" t="n">
        <v>56.71</v>
      </c>
      <c r="T106" s="121" t="inlineStr">
        <is>
          <t>ANI Pharmaceuticals, Inc., a biopharmaceutical company, develops, manufactures, and markets branded and generic pharmaceutical products in the United States and internationally. The company provides i</t>
        </is>
      </c>
    </row>
    <row r="107" ht="30" customHeight="1" s="89">
      <c r="A107" s="100" t="inlineStr">
        <is>
          <t>IMCR</t>
        </is>
      </c>
      <c r="B107" s="101" t="inlineStr">
        <is>
          <t>Immunocore Holdings plc</t>
        </is>
      </c>
      <c r="C107" s="102" t="inlineStr">
        <is>
          <t>NASDAQ (ADR)</t>
        </is>
      </c>
      <c r="D107" s="103" t="inlineStr"/>
      <c r="E107" s="101" t="inlineStr"/>
      <c r="F107" s="103" t="inlineStr"/>
      <c r="G107" s="101" t="inlineStr"/>
      <c r="H107" s="103" t="inlineStr"/>
      <c r="I107" s="102" t="inlineStr"/>
      <c r="J107" s="101" t="inlineStr"/>
      <c r="K107" s="101" t="inlineStr"/>
      <c r="L107" s="104" t="n">
        <v>1564.5</v>
      </c>
      <c r="M107" s="104" t="n">
        <v>864.2</v>
      </c>
      <c r="N107" s="123" t="n">
        <v>18.6</v>
      </c>
      <c r="O107" s="106">
        <f>IFERROR(ROUND(M107/N107,1),"")</f>
        <v/>
      </c>
      <c r="P107" s="107">
        <f>IFERROR(IF(O107="CF+","✅ CF+",IF(O107&lt;4,"🔴 &lt;4Q",IF(O107&lt;8,"🟡 4-8Q","🟢 &gt;8Q"))),"—")</f>
        <v/>
      </c>
      <c r="Q107" s="108">
        <f>IFERROR(L107-M107,"")</f>
        <v/>
      </c>
      <c r="R107" s="109" t="n">
        <v>40.72</v>
      </c>
      <c r="S107" s="109" t="n">
        <v>23.15</v>
      </c>
      <c r="T107" s="110" t="inlineStr">
        <is>
          <t>Immunocore Holdings plc, together with its subsidiaries, engages in the development and commercialization of immunomodulating medicines for patients with cancer, infectious diseases, and autoimmune di</t>
        </is>
      </c>
    </row>
    <row r="108" ht="30" customHeight="1" s="89">
      <c r="A108" s="111" t="inlineStr">
        <is>
          <t>NRIX</t>
        </is>
      </c>
      <c r="B108" s="112" t="inlineStr">
        <is>
          <t>Nurix Therapeutics, Inc.</t>
        </is>
      </c>
      <c r="C108" s="113" t="inlineStr">
        <is>
          <t>NGM</t>
        </is>
      </c>
      <c r="D108" s="174" t="inlineStr">
        <is>
          <t>Oncology</t>
        </is>
      </c>
      <c r="E108" s="112" t="inlineStr">
        <is>
          <t>Chronic Lymphocytic Leukemia (CLL)</t>
        </is>
      </c>
      <c r="F108" s="171" t="inlineStr">
        <is>
          <t>Small Molecule</t>
        </is>
      </c>
      <c r="G108" s="112" t="inlineStr">
        <is>
          <t>NX-5948</t>
        </is>
      </c>
      <c r="H108" s="168" t="inlineStr">
        <is>
          <t>Phase 2</t>
        </is>
      </c>
      <c r="I108" s="113" t="inlineStr">
        <is>
          <t>Jan 2028</t>
        </is>
      </c>
      <c r="J108" s="112" t="inlineStr">
        <is>
          <t>Phase 2 Data Readout</t>
        </is>
      </c>
      <c r="K108" s="112" t="inlineStr"/>
      <c r="L108" s="115" t="n">
        <v>1546.8</v>
      </c>
      <c r="M108" s="115" t="n">
        <v>592.9</v>
      </c>
      <c r="N108" s="122" t="n">
        <v>62.6</v>
      </c>
      <c r="O108" s="117">
        <f>IFERROR(ROUND(M108/N108,1),"")</f>
        <v/>
      </c>
      <c r="P108" s="118">
        <f>IFERROR(IF(O108="CF+","✅ CF+",IF(O108&lt;4,"🔴 &lt;4Q",IF(O108&lt;8,"🟡 4-8Q","🟢 &gt;8Q"))),"—")</f>
        <v/>
      </c>
      <c r="Q108" s="119">
        <f>IFERROR(L108-M108,"")</f>
        <v/>
      </c>
      <c r="R108" s="120" t="n">
        <v>22.5</v>
      </c>
      <c r="S108" s="120" t="n">
        <v>8.18</v>
      </c>
      <c r="T108" s="121" t="inlineStr">
        <is>
          <t>Nurix Therapeutics, Inc., a clinical stage biopharmaceutical company, focuses on the discovery, development, and commercialization of small molecule and antibody therapies for the treatment of cancer,</t>
        </is>
      </c>
    </row>
    <row r="109" ht="30" customHeight="1" s="89">
      <c r="A109" s="100" t="inlineStr">
        <is>
          <t>NTLA</t>
        </is>
      </c>
      <c r="B109" s="101" t="inlineStr">
        <is>
          <t>Intellia Therapeutics, Inc.</t>
        </is>
      </c>
      <c r="C109" s="102" t="inlineStr">
        <is>
          <t>NGM</t>
        </is>
      </c>
      <c r="D109" s="103" t="inlineStr"/>
      <c r="E109" s="101" t="inlineStr"/>
      <c r="F109" s="103" t="inlineStr"/>
      <c r="G109" s="101" t="inlineStr"/>
      <c r="H109" s="103" t="inlineStr"/>
      <c r="I109" s="102" t="inlineStr"/>
      <c r="J109" s="101" t="inlineStr"/>
      <c r="K109" s="101" t="inlineStr"/>
      <c r="L109" s="104" t="n">
        <v>1507.4</v>
      </c>
      <c r="M109" s="104" t="n">
        <v>449.9</v>
      </c>
      <c r="N109" s="123" t="n">
        <v>73.09999999999999</v>
      </c>
      <c r="O109" s="106">
        <f>IFERROR(ROUND(M109/N109,1),"")</f>
        <v/>
      </c>
      <c r="P109" s="107">
        <f>IFERROR(IF(O109="CF+","✅ CF+",IF(O109&lt;4,"🔴 &lt;4Q",IF(O109&lt;8,"🟡 4-8Q","🟢 &gt;8Q"))),"—")</f>
        <v/>
      </c>
      <c r="Q109" s="108">
        <f>IFERROR(L109-M109,"")</f>
        <v/>
      </c>
      <c r="R109" s="109" t="n">
        <v>28.25</v>
      </c>
      <c r="S109" s="109" t="n">
        <v>5.9</v>
      </c>
      <c r="T109" s="110" t="inlineStr">
        <is>
          <t>Intellia Therapeutics, Inc., a clinical-stage gene editing company, focuses on the development of curative genome editing treatments. The company's in vivo programs include NTLA-2001, which is in Phas</t>
        </is>
      </c>
    </row>
    <row r="110" ht="30" customHeight="1" s="89">
      <c r="A110" s="111" t="inlineStr">
        <is>
          <t>ATRC</t>
        </is>
      </c>
      <c r="B110" s="112" t="inlineStr">
        <is>
          <t>AtriCure, Inc.</t>
        </is>
      </c>
      <c r="C110" s="113" t="inlineStr">
        <is>
          <t>NGM</t>
        </is>
      </c>
      <c r="D110" s="168" t="inlineStr">
        <is>
          <t>Cardiometabolic</t>
        </is>
      </c>
      <c r="E110" s="112" t="inlineStr">
        <is>
          <t>Atrial Fibrillation</t>
        </is>
      </c>
      <c r="F110" s="171" t="inlineStr">
        <is>
          <t>Small Molecule</t>
        </is>
      </c>
      <c r="G110" s="112" t="inlineStr">
        <is>
          <t>Anticoagulation Therapy</t>
        </is>
      </c>
      <c r="H110" s="172" t="inlineStr">
        <is>
          <t>Phase 3</t>
        </is>
      </c>
      <c r="I110" s="113" t="inlineStr">
        <is>
          <t>Dec 2007</t>
        </is>
      </c>
      <c r="J110" s="112" t="inlineStr">
        <is>
          <t>Commercial / Label Expansion</t>
        </is>
      </c>
      <c r="K110" s="112" t="inlineStr"/>
      <c r="L110" s="115" t="n">
        <v>1486.6</v>
      </c>
      <c r="M110" s="115" t="n">
        <v>167.4</v>
      </c>
      <c r="N110" s="116" t="n"/>
      <c r="O110" s="117" t="inlineStr">
        <is>
          <t>CF+</t>
        </is>
      </c>
      <c r="P110" s="118" t="inlineStr">
        <is>
          <t>✅ CF+</t>
        </is>
      </c>
      <c r="Q110" s="119">
        <f>IFERROR(L110-M110,"")</f>
        <v/>
      </c>
      <c r="R110" s="120" t="n">
        <v>43.18</v>
      </c>
      <c r="S110" s="120" t="n">
        <v>28.29</v>
      </c>
      <c r="T110" s="121" t="inlineStr">
        <is>
          <t>AtriCure, Inc. engages in the development, manufacture, and sale of devices for surgical ablation of cardiac tissue, exclusion of the left atrial appendage, and temporarily blocking pain by ablating p</t>
        </is>
      </c>
    </row>
    <row r="111" ht="30" customHeight="1" s="89">
      <c r="A111" s="100" t="inlineStr">
        <is>
          <t>VIR</t>
        </is>
      </c>
      <c r="B111" s="101" t="inlineStr">
        <is>
          <t>Vir Biotechnology, Inc.</t>
        </is>
      </c>
      <c r="C111" s="102" t="inlineStr">
        <is>
          <t>NASDAQ</t>
        </is>
      </c>
      <c r="D111" s="174" t="inlineStr">
        <is>
          <t>Oncology</t>
        </is>
      </c>
      <c r="E111" s="101" t="inlineStr">
        <is>
          <t>Viral Hepatitis</t>
        </is>
      </c>
      <c r="F111" s="171" t="inlineStr">
        <is>
          <t>Small Molecule</t>
        </is>
      </c>
      <c r="G111" s="101" t="inlineStr">
        <is>
          <t>Tobevibart</t>
        </is>
      </c>
      <c r="H111" s="172" t="inlineStr">
        <is>
          <t>Phase 3</t>
        </is>
      </c>
      <c r="I111" s="102" t="inlineStr">
        <is>
          <t>Dec 2026</t>
        </is>
      </c>
      <c r="J111" s="101" t="inlineStr">
        <is>
          <t>Phase 3 Readout</t>
        </is>
      </c>
      <c r="K111" s="101" t="inlineStr"/>
      <c r="L111" s="104" t="n">
        <v>1479.9</v>
      </c>
      <c r="M111" s="104" t="n">
        <v>467</v>
      </c>
      <c r="N111" s="123" t="n">
        <v>96.7</v>
      </c>
      <c r="O111" s="106">
        <f>IFERROR(ROUND(M111/N111,1),"")</f>
        <v/>
      </c>
      <c r="P111" s="107">
        <f>IFERROR(IF(O111="CF+","✅ CF+",IF(O111&lt;4,"🔴 &lt;4Q",IF(O111&lt;8,"🟡 4-8Q","🟢 &gt;8Q"))),"—")</f>
        <v/>
      </c>
      <c r="Q111" s="108">
        <f>IFERROR(L111-M111,"")</f>
        <v/>
      </c>
      <c r="R111" s="109" t="n">
        <v>10.94</v>
      </c>
      <c r="S111" s="109" t="n">
        <v>4.16</v>
      </c>
      <c r="T111" s="110" t="inlineStr">
        <is>
          <t>Vir Biotechnology, Inc., a clinical-stage biopharmaceutical company, discovers and develops therapeutic products to treat and prevent serious infectious diseases in the United States and international</t>
        </is>
      </c>
    </row>
    <row r="112" ht="30" customHeight="1" s="89">
      <c r="A112" s="111" t="inlineStr">
        <is>
          <t>BHVN</t>
        </is>
      </c>
      <c r="B112" s="112" t="inlineStr">
        <is>
          <t>Biohaven Ltd.</t>
        </is>
      </c>
      <c r="C112" s="113" t="inlineStr">
        <is>
          <t>NYSE</t>
        </is>
      </c>
      <c r="D112" s="174" t="inlineStr">
        <is>
          <t>Oncology</t>
        </is>
      </c>
      <c r="E112" s="112" t="inlineStr">
        <is>
          <t>Focal Epilepsy</t>
        </is>
      </c>
      <c r="F112" s="171" t="inlineStr">
        <is>
          <t>Small Molecule</t>
        </is>
      </c>
      <c r="G112" s="112" t="inlineStr">
        <is>
          <t>BHV-7000</t>
        </is>
      </c>
      <c r="H112" s="172" t="inlineStr">
        <is>
          <t>Phase 2/3</t>
        </is>
      </c>
      <c r="I112" s="113" t="inlineStr">
        <is>
          <t>Dec 2026</t>
        </is>
      </c>
      <c r="J112" s="112" t="inlineStr">
        <is>
          <t>Commercial / Label Expansion</t>
        </is>
      </c>
      <c r="K112" s="112" t="inlineStr"/>
      <c r="L112" s="115" t="n">
        <v>1441</v>
      </c>
      <c r="M112" s="115" t="n">
        <v>319.1</v>
      </c>
      <c r="N112" s="122" t="n">
        <v>138.2</v>
      </c>
      <c r="O112" s="117">
        <f>IFERROR(ROUND(M112/N112,1),"")</f>
        <v/>
      </c>
      <c r="P112" s="118">
        <f>IFERROR(IF(O112="CF+","✅ CF+",IF(O112&lt;4,"🔴 &lt;4Q",IF(O112&lt;8,"🟡 4-8Q","🟢 &gt;8Q"))),"—")</f>
        <v/>
      </c>
      <c r="Q112" s="119">
        <f>IFERROR(L112-M112,"")</f>
        <v/>
      </c>
      <c r="R112" s="120" t="n">
        <v>31.18</v>
      </c>
      <c r="S112" s="120" t="n">
        <v>7.48</v>
      </c>
      <c r="T112" s="121" t="inlineStr">
        <is>
          <t>Biohaven Ltd., a biopharmaceutical company, focuses on the discovery, development, and commercialization of treatments for immunology, neuroscience, and oncology therapeutic areas worldwide. It develo</t>
        </is>
      </c>
    </row>
    <row r="113" ht="30" customHeight="1" s="89">
      <c r="A113" s="100" t="inlineStr">
        <is>
          <t>ARDX</t>
        </is>
      </c>
      <c r="B113" s="101" t="inlineStr">
        <is>
          <t>Ardelyx, Inc.</t>
        </is>
      </c>
      <c r="C113" s="102" t="inlineStr">
        <is>
          <t>NGM</t>
        </is>
      </c>
      <c r="D113" s="103" t="inlineStr"/>
      <c r="E113" s="101" t="inlineStr"/>
      <c r="F113" s="103" t="inlineStr"/>
      <c r="G113" s="101" t="inlineStr"/>
      <c r="H113" s="103" t="inlineStr"/>
      <c r="I113" s="102" t="inlineStr"/>
      <c r="J113" s="101" t="inlineStr"/>
      <c r="K113" s="101" t="inlineStr"/>
      <c r="L113" s="104" t="n">
        <v>1417.5</v>
      </c>
      <c r="M113" s="104" t="n">
        <v>264.7</v>
      </c>
      <c r="N113" s="123" t="n">
        <v>10.6</v>
      </c>
      <c r="O113" s="106">
        <f>IFERROR(ROUND(M113/N113,1),"")</f>
        <v/>
      </c>
      <c r="P113" s="107">
        <f>IFERROR(IF(O113="CF+","✅ CF+",IF(O113&lt;4,"🔴 &lt;4Q",IF(O113&lt;8,"🟡 4-8Q","🟢 &gt;8Q"))),"—")</f>
        <v/>
      </c>
      <c r="Q113" s="108">
        <f>IFERROR(L113-M113,"")</f>
        <v/>
      </c>
      <c r="R113" s="109" t="n">
        <v>8.4</v>
      </c>
      <c r="S113" s="109" t="n">
        <v>3.21</v>
      </c>
      <c r="T113" s="110" t="inlineStr">
        <is>
          <t>Ardelyx, Inc. discovers, develops, and commercializes medicines to treat unmet medical needs in the United States and internationally. The company offers IBSRELA, a minimally absorbed small molecule t</t>
        </is>
      </c>
    </row>
    <row r="114" ht="30" customHeight="1" s="89">
      <c r="A114" s="111" t="inlineStr">
        <is>
          <t>TRVI</t>
        </is>
      </c>
      <c r="B114" s="112" t="inlineStr">
        <is>
          <t>Trevi Therapeutics, Inc.</t>
        </is>
      </c>
      <c r="C114" s="113" t="inlineStr">
        <is>
          <t>NGM</t>
        </is>
      </c>
      <c r="D114" s="114" t="inlineStr"/>
      <c r="E114" s="112" t="inlineStr"/>
      <c r="F114" s="114" t="inlineStr"/>
      <c r="G114" s="112" t="inlineStr"/>
      <c r="H114" s="114" t="inlineStr"/>
      <c r="I114" s="113" t="inlineStr"/>
      <c r="J114" s="112" t="inlineStr"/>
      <c r="K114" s="112" t="inlineStr"/>
      <c r="L114" s="115" t="n">
        <v>1411.8</v>
      </c>
      <c r="M114" s="115" t="n">
        <v>194.9</v>
      </c>
      <c r="N114" s="122" t="n">
        <v>10.5</v>
      </c>
      <c r="O114" s="117">
        <f>IFERROR(ROUND(M114/N114,1),"")</f>
        <v/>
      </c>
      <c r="P114" s="118">
        <f>IFERROR(IF(O114="CF+","✅ CF+",IF(O114&lt;4,"🔴 &lt;4Q",IF(O114&lt;8,"🟡 4-8Q","🟢 &gt;8Q"))),"—")</f>
        <v/>
      </c>
      <c r="Q114" s="119">
        <f>IFERROR(L114-M114,"")</f>
        <v/>
      </c>
      <c r="R114" s="120" t="n">
        <v>14.39</v>
      </c>
      <c r="S114" s="120" t="n">
        <v>4.85</v>
      </c>
      <c r="T114" s="121" t="inlineStr">
        <is>
          <t>Trevi Therapeutics, Inc., a clinical-stage biopharmaceutical company, focuses on the development and commercialization of investigational therapy for the treatment of chronic cough in patients with id</t>
        </is>
      </c>
    </row>
    <row r="115" ht="30" customHeight="1" s="89">
      <c r="A115" s="100" t="inlineStr">
        <is>
          <t>ENOV</t>
        </is>
      </c>
      <c r="B115" s="101" t="inlineStr">
        <is>
          <t>Enovis Corporation</t>
        </is>
      </c>
      <c r="C115" s="102" t="inlineStr">
        <is>
          <t>NYSE</t>
        </is>
      </c>
      <c r="D115" s="103" t="inlineStr"/>
      <c r="E115" s="101" t="inlineStr"/>
      <c r="F115" s="103" t="inlineStr"/>
      <c r="G115" s="101" t="inlineStr"/>
      <c r="H115" s="103" t="inlineStr"/>
      <c r="I115" s="102" t="inlineStr"/>
      <c r="J115" s="101" t="inlineStr"/>
      <c r="K115" s="101" t="inlineStr"/>
      <c r="L115" s="104" t="n">
        <v>1316.1</v>
      </c>
      <c r="M115" s="104" t="n">
        <v>36.4</v>
      </c>
      <c r="N115" s="105" t="n"/>
      <c r="O115" s="106" t="inlineStr">
        <is>
          <t>CF+</t>
        </is>
      </c>
      <c r="P115" s="107" t="inlineStr">
        <is>
          <t>✅ CF+</t>
        </is>
      </c>
      <c r="Q115" s="108">
        <f>IFERROR(L115-M115,"")</f>
        <v/>
      </c>
      <c r="R115" s="109" t="n">
        <v>40.7</v>
      </c>
      <c r="S115" s="109" t="n">
        <v>21</v>
      </c>
      <c r="T115" s="110" t="inlineStr">
        <is>
          <t>Enovis Corporation, a medical technology company, focuses on developing clinically differentiated solutions in the United States and internationally. It operates through two segments: Prevention and R</t>
        </is>
      </c>
    </row>
    <row r="116" ht="30" customHeight="1" s="89">
      <c r="A116" s="111" t="inlineStr">
        <is>
          <t>CRVS</t>
        </is>
      </c>
      <c r="B116" s="112" t="inlineStr">
        <is>
          <t>Corvus Pharmaceuticals, Inc.</t>
        </is>
      </c>
      <c r="C116" s="113" t="inlineStr">
        <is>
          <t>NGM</t>
        </is>
      </c>
      <c r="D116" s="174" t="inlineStr">
        <is>
          <t>Oncology</t>
        </is>
      </c>
      <c r="E116" s="112" t="inlineStr">
        <is>
          <t>Peripheral T-Cell Lymphoma, Not Otherwise Specified</t>
        </is>
      </c>
      <c r="F116" s="171" t="inlineStr">
        <is>
          <t>Small Molecule</t>
        </is>
      </c>
      <c r="G116" s="112" t="inlineStr">
        <is>
          <t>Soquelitinib</t>
        </is>
      </c>
      <c r="H116" s="172" t="inlineStr">
        <is>
          <t>Phase 3</t>
        </is>
      </c>
      <c r="I116" s="113" t="inlineStr">
        <is>
          <t>Nov 2026</t>
        </is>
      </c>
      <c r="J116" s="112" t="inlineStr">
        <is>
          <t>Phase 3 Readout</t>
        </is>
      </c>
      <c r="K116" s="112" t="inlineStr"/>
      <c r="L116" s="115" t="n">
        <v>1283.3</v>
      </c>
      <c r="M116" s="115" t="n">
        <v>56.8</v>
      </c>
      <c r="N116" s="122" t="n">
        <v>7.7</v>
      </c>
      <c r="O116" s="117">
        <f>IFERROR(ROUND(M116/N116,1),"")</f>
        <v/>
      </c>
      <c r="P116" s="118">
        <f>IFERROR(IF(O116="CF+","✅ CF+",IF(O116&lt;4,"🔴 &lt;4Q",IF(O116&lt;8,"🟡 4-8Q","🟢 &gt;8Q"))),"—")</f>
        <v/>
      </c>
      <c r="Q116" s="119">
        <f>IFERROR(L116-M116,"")</f>
        <v/>
      </c>
      <c r="R116" s="120" t="n">
        <v>26.95</v>
      </c>
      <c r="S116" s="120" t="n">
        <v>2.54</v>
      </c>
      <c r="T116" s="121" t="inlineStr">
        <is>
          <t>Corvus Pharmaceuticals, Inc., a clinical stage biopharmaceutical company, engages in the development of product candidates that precisely target proteins that are critical to immune cell maturation an</t>
        </is>
      </c>
    </row>
    <row r="117" ht="30" customHeight="1" s="89">
      <c r="A117" s="100" t="inlineStr">
        <is>
          <t>PDFS</t>
        </is>
      </c>
      <c r="B117" s="101" t="inlineStr">
        <is>
          <t>PDF Solutions, Inc.</t>
        </is>
      </c>
      <c r="C117" s="102" t="inlineStr">
        <is>
          <t>NASDAQ</t>
        </is>
      </c>
      <c r="D117" s="103" t="inlineStr"/>
      <c r="E117" s="101" t="inlineStr"/>
      <c r="F117" s="103" t="inlineStr"/>
      <c r="G117" s="101" t="inlineStr"/>
      <c r="H117" s="103" t="inlineStr"/>
      <c r="I117" s="102" t="inlineStr"/>
      <c r="J117" s="101" t="inlineStr"/>
      <c r="K117" s="101" t="inlineStr"/>
      <c r="L117" s="104" t="n">
        <v>1267.3</v>
      </c>
      <c r="M117" s="104" t="n">
        <v>42.2</v>
      </c>
      <c r="N117" s="105" t="n"/>
      <c r="O117" s="106" t="inlineStr">
        <is>
          <t>CF+</t>
        </is>
      </c>
      <c r="P117" s="107" t="inlineStr">
        <is>
          <t>✅ CF+</t>
        </is>
      </c>
      <c r="Q117" s="108">
        <f>IFERROR(L117-M117,"")</f>
        <v/>
      </c>
      <c r="R117" s="109" t="n">
        <v>36.99</v>
      </c>
      <c r="S117" s="109" t="n">
        <v>15.91</v>
      </c>
      <c r="T117" s="110" t="inlineStr">
        <is>
          <t>PDF Solutions, Inc. provides proprietary software, physical intellectual property for integrated circuit designs, electrical measurement hardware tools, proven methodologies, and professional services</t>
        </is>
      </c>
    </row>
    <row r="118" ht="30" customHeight="1" s="89">
      <c r="A118" s="111" t="inlineStr">
        <is>
          <t>IMTX</t>
        </is>
      </c>
      <c r="B118" s="112" t="inlineStr">
        <is>
          <t>Immatics N.V.</t>
        </is>
      </c>
      <c r="C118" s="113" t="inlineStr">
        <is>
          <t>NASDAQ (ADR)</t>
        </is>
      </c>
      <c r="D118" s="114" t="inlineStr"/>
      <c r="E118" s="112" t="inlineStr"/>
      <c r="F118" s="114" t="inlineStr"/>
      <c r="G118" s="112" t="inlineStr"/>
      <c r="H118" s="114" t="inlineStr"/>
      <c r="I118" s="113" t="inlineStr"/>
      <c r="J118" s="112" t="inlineStr"/>
      <c r="K118" s="112" t="inlineStr"/>
      <c r="L118" s="115" t="n">
        <v>1238.7</v>
      </c>
      <c r="M118" s="115" t="n">
        <v>469.3</v>
      </c>
      <c r="N118" s="122" t="n">
        <v>41.9</v>
      </c>
      <c r="O118" s="117">
        <f>IFERROR(ROUND(M118/N118,1),"")</f>
        <v/>
      </c>
      <c r="P118" s="118">
        <f>IFERROR(IF(O118="CF+","✅ CF+",IF(O118&lt;4,"🔴 &lt;4Q",IF(O118&lt;8,"🟡 4-8Q","🟢 &gt;8Q"))),"—")</f>
        <v/>
      </c>
      <c r="Q118" s="119">
        <f>IFERROR(L118-M118,"")</f>
        <v/>
      </c>
      <c r="R118" s="120" t="n">
        <v>12.41</v>
      </c>
      <c r="S118" s="120" t="n">
        <v>3.3</v>
      </c>
      <c r="T118" s="121" t="inlineStr">
        <is>
          <t>Immatics N.V., a clinical-stage biopharmaceutical company, focuses on the research and development of potential T cell redirecting immunotherapies for the treatment of cancer in the United States. The</t>
        </is>
      </c>
    </row>
    <row r="119" ht="30" customHeight="1" s="89">
      <c r="A119" s="100" t="inlineStr">
        <is>
          <t>TSHA</t>
        </is>
      </c>
      <c r="B119" s="101" t="inlineStr">
        <is>
          <t>Taysha Gene Therapies, Inc.</t>
        </is>
      </c>
      <c r="C119" s="102" t="inlineStr">
        <is>
          <t>NASDAQ</t>
        </is>
      </c>
      <c r="D119" s="172" t="inlineStr">
        <is>
          <t>Rare Disease</t>
        </is>
      </c>
      <c r="E119" s="101" t="inlineStr">
        <is>
          <t>Rett Syndrome</t>
        </is>
      </c>
      <c r="F119" s="182" t="inlineStr">
        <is>
          <t>Gene Therapy</t>
        </is>
      </c>
      <c r="G119" s="101" t="inlineStr">
        <is>
          <t>TSHA-102</t>
        </is>
      </c>
      <c r="H119" s="172" t="inlineStr">
        <is>
          <t>Phase 3</t>
        </is>
      </c>
      <c r="I119" s="102" t="inlineStr">
        <is>
          <t>Jun 2031</t>
        </is>
      </c>
      <c r="J119" s="101" t="inlineStr">
        <is>
          <t>Phase 3 Readout</t>
        </is>
      </c>
      <c r="K119" s="101" t="inlineStr"/>
      <c r="L119" s="104" t="n">
        <v>1229.9</v>
      </c>
      <c r="M119" s="104" t="n">
        <v>297.3</v>
      </c>
      <c r="N119" s="123" t="n">
        <v>22.2</v>
      </c>
      <c r="O119" s="106">
        <f>IFERROR(ROUND(M119/N119,1),"")</f>
        <v/>
      </c>
      <c r="P119" s="107">
        <f>IFERROR(IF(O119="CF+","✅ CF+",IF(O119&lt;4,"🔴 &lt;4Q",IF(O119&lt;8,"🟡 4-8Q","🟢 &gt;8Q"))),"—")</f>
        <v/>
      </c>
      <c r="Q119" s="108">
        <f>IFERROR(L119-M119,"")</f>
        <v/>
      </c>
      <c r="R119" s="109" t="n">
        <v>6.02</v>
      </c>
      <c r="S119" s="109" t="n">
        <v>1.05</v>
      </c>
      <c r="T119" s="110" t="inlineStr">
        <is>
          <t>Taysha Gene Therapies, Inc., a clinical-stage biotechnology company, focuses on developing and commercializing adeno-associated virus-based gene therapies for the treatment of monogenic diseases of th</t>
        </is>
      </c>
    </row>
    <row r="120" ht="30" customHeight="1" s="89">
      <c r="A120" s="111" t="inlineStr">
        <is>
          <t>GLUE</t>
        </is>
      </c>
      <c r="B120" s="112" t="inlineStr">
        <is>
          <t>Monte Rosa Therapeutics, Inc.</t>
        </is>
      </c>
      <c r="C120" s="113" t="inlineStr">
        <is>
          <t>NASDAQ</t>
        </is>
      </c>
      <c r="D120" s="174" t="inlineStr">
        <is>
          <t>Oncology</t>
        </is>
      </c>
      <c r="E120" s="112" t="inlineStr">
        <is>
          <t>NSCLC</t>
        </is>
      </c>
      <c r="F120" s="171" t="inlineStr">
        <is>
          <t>Small Molecule</t>
        </is>
      </c>
      <c r="G120" s="112" t="inlineStr">
        <is>
          <t>Oral MRT-2359</t>
        </is>
      </c>
      <c r="H120" s="176" t="inlineStr">
        <is>
          <t>Phase 1/2</t>
        </is>
      </c>
      <c r="I120" s="113" t="inlineStr">
        <is>
          <t>May 2026</t>
        </is>
      </c>
      <c r="J120" s="112" t="inlineStr">
        <is>
          <t>Phase 1/2 Data Readout</t>
        </is>
      </c>
      <c r="K120" s="112" t="inlineStr"/>
      <c r="L120" s="115" t="n">
        <v>1221.4</v>
      </c>
      <c r="M120" s="115" t="n">
        <v>391.3</v>
      </c>
      <c r="N120" s="116" t="n"/>
      <c r="O120" s="117" t="inlineStr">
        <is>
          <t>CF+</t>
        </is>
      </c>
      <c r="P120" s="118" t="inlineStr">
        <is>
          <t>✅ CF+</t>
        </is>
      </c>
      <c r="Q120" s="119">
        <f>IFERROR(L120-M120,"")</f>
        <v/>
      </c>
      <c r="R120" s="120" t="n">
        <v>25.77</v>
      </c>
      <c r="S120" s="120" t="n">
        <v>3.5</v>
      </c>
      <c r="T120" s="121" t="inlineStr">
        <is>
          <t>Monte Rosa Therapeutics, Inc., a clinical-stage biotechnology company, engages in the development of novel small molecule precision medicines that employ the body's natural mechanisms to selectively d</t>
        </is>
      </c>
    </row>
    <row r="121" ht="30" customHeight="1" s="89">
      <c r="A121" s="100" t="inlineStr">
        <is>
          <t>TRIN</t>
        </is>
      </c>
      <c r="B121" s="101" t="inlineStr">
        <is>
          <t>Trinity Capital Inc.</t>
        </is>
      </c>
      <c r="C121" s="102" t="inlineStr">
        <is>
          <t>NASDAQ</t>
        </is>
      </c>
      <c r="D121" s="103" t="inlineStr"/>
      <c r="E121" s="101" t="inlineStr"/>
      <c r="F121" s="103" t="inlineStr"/>
      <c r="G121" s="101" t="inlineStr"/>
      <c r="H121" s="103" t="inlineStr"/>
      <c r="I121" s="102" t="inlineStr"/>
      <c r="J121" s="101" t="inlineStr"/>
      <c r="K121" s="101" t="inlineStr"/>
      <c r="L121" s="104" t="n">
        <v>1199.4</v>
      </c>
      <c r="M121" s="104" t="n">
        <v>19.1</v>
      </c>
      <c r="N121" s="123" t="n">
        <v>174.3</v>
      </c>
      <c r="O121" s="106">
        <f>IFERROR(ROUND(M121/N121,1),"")</f>
        <v/>
      </c>
      <c r="P121" s="107">
        <f>IFERROR(IF(O121="CF+","✅ CF+",IF(O121&lt;4,"🔴 &lt;4Q",IF(O121&lt;8,"🟡 4-8Q","🟢 &gt;8Q"))),"—")</f>
        <v/>
      </c>
      <c r="Q121" s="108">
        <f>IFERROR(L121-M121,"")</f>
        <v/>
      </c>
      <c r="R121" s="109" t="n">
        <v>17.2</v>
      </c>
      <c r="S121" s="109" t="n">
        <v>12.5</v>
      </c>
      <c r="T121" s="110" t="inlineStr">
        <is>
          <t>Trinity Capital Inc. is a business development company specializing in term loans, equipment financing, and private equity-related investments. The firm provides tech lending, equipment financing, lif</t>
        </is>
      </c>
    </row>
    <row r="122" ht="30" customHeight="1" s="89">
      <c r="A122" s="111" t="inlineStr">
        <is>
          <t>SVRA</t>
        </is>
      </c>
      <c r="B122" s="112" t="inlineStr">
        <is>
          <t>Savara Inc.</t>
        </is>
      </c>
      <c r="C122" s="113" t="inlineStr">
        <is>
          <t>NASDAQ</t>
        </is>
      </c>
      <c r="D122" s="178" t="inlineStr">
        <is>
          <t>Immunology</t>
        </is>
      </c>
      <c r="E122" s="112" t="inlineStr">
        <is>
          <t>Autoimmune Pulmonary Alveolar Proteinosis</t>
        </is>
      </c>
      <c r="F122" s="171" t="inlineStr">
        <is>
          <t>Small Molecule</t>
        </is>
      </c>
      <c r="G122" s="112" t="inlineStr">
        <is>
          <t>Molgramostim</t>
        </is>
      </c>
      <c r="H122" s="172" t="inlineStr">
        <is>
          <t>Phase 3</t>
        </is>
      </c>
      <c r="I122" s="113" t="inlineStr">
        <is>
          <t>Jun 2027</t>
        </is>
      </c>
      <c r="J122" s="112" t="inlineStr">
        <is>
          <t>Phase 3 Readout</t>
        </is>
      </c>
      <c r="K122" s="112" t="inlineStr"/>
      <c r="L122" s="115" t="n">
        <v>1068.2</v>
      </c>
      <c r="M122" s="115" t="n">
        <v>235.7</v>
      </c>
      <c r="N122" s="122" t="n">
        <v>24.4</v>
      </c>
      <c r="O122" s="117">
        <f>IFERROR(ROUND(M122/N122,1),"")</f>
        <v/>
      </c>
      <c r="P122" s="118">
        <f>IFERROR(IF(O122="CF+","✅ CF+",IF(O122&lt;4,"🔴 &lt;4Q",IF(O122&lt;8,"🟡 4-8Q","🟢 &gt;8Q"))),"—")</f>
        <v/>
      </c>
      <c r="Q122" s="119">
        <f>IFERROR(L122-M122,"")</f>
        <v/>
      </c>
      <c r="R122" s="120" t="n">
        <v>7</v>
      </c>
      <c r="S122" s="120" t="n">
        <v>1.89</v>
      </c>
      <c r="T122" s="121" t="inlineStr">
        <is>
          <t>Savara Inc., a clinical stage biopharmaceutical company, focuses on rare respiratory diseases in the United States. The company's lead product candidate is molgramostim, an inhaled granulocyte-macroph</t>
        </is>
      </c>
    </row>
    <row r="123" ht="30" customHeight="1" s="89">
      <c r="A123" s="100" t="inlineStr">
        <is>
          <t>INBX</t>
        </is>
      </c>
      <c r="B123" s="101" t="inlineStr">
        <is>
          <t>Inhibrx Biosciences, Inc.</t>
        </is>
      </c>
      <c r="C123" s="102" t="inlineStr">
        <is>
          <t>NASDAQ</t>
        </is>
      </c>
      <c r="D123" s="174" t="inlineStr">
        <is>
          <t>Oncology</t>
        </is>
      </c>
      <c r="E123" s="101" t="inlineStr">
        <is>
          <t>Head and Neck Squamous Cell Carcinoma (HNSCC)</t>
        </is>
      </c>
      <c r="F123" s="173" t="inlineStr">
        <is>
          <t>Monoclonal Ab (mAb)</t>
        </is>
      </c>
      <c r="G123" s="101" t="inlineStr">
        <is>
          <t>INBRX-106</t>
        </is>
      </c>
      <c r="H123" s="172" t="inlineStr">
        <is>
          <t>Phase 2/3</t>
        </is>
      </c>
      <c r="I123" s="102" t="inlineStr">
        <is>
          <t>May 2029</t>
        </is>
      </c>
      <c r="J123" s="101" t="inlineStr">
        <is>
          <t>Phase 2 Data Readout</t>
        </is>
      </c>
      <c r="K123" s="101" t="inlineStr"/>
      <c r="L123" s="104" t="n">
        <v>999.7</v>
      </c>
      <c r="M123" s="104" t="n">
        <v>153.1</v>
      </c>
      <c r="N123" s="123" t="n">
        <v>31.9</v>
      </c>
      <c r="O123" s="106">
        <f>IFERROR(ROUND(M123/N123,1),"")</f>
        <v/>
      </c>
      <c r="P123" s="107">
        <f>IFERROR(IF(O123="CF+","✅ CF+",IF(O123&lt;4,"🔴 &lt;4Q",IF(O123&lt;8,"🟡 4-8Q","🟢 &gt;8Q"))),"—")</f>
        <v/>
      </c>
      <c r="Q123" s="108">
        <f>IFERROR(L123-M123,"")</f>
        <v/>
      </c>
      <c r="R123" s="109" t="n">
        <v>94.56</v>
      </c>
      <c r="S123" s="109" t="n">
        <v>10.8</v>
      </c>
      <c r="T123" s="110" t="inlineStr">
        <is>
          <t>Inhibrx Biosciences, Inc., a clinical-stage biopharmaceutical company, engages in the development of biologic therapeutics for people with life-threatening conditions. Its therapeutic candidates inclu</t>
        </is>
      </c>
    </row>
    <row r="124" ht="30" customHeight="1" s="89">
      <c r="A124" s="111" t="inlineStr">
        <is>
          <t>AZTA</t>
        </is>
      </c>
      <c r="B124" s="112" t="inlineStr">
        <is>
          <t>Azenta, Inc.</t>
        </is>
      </c>
      <c r="C124" s="113" t="inlineStr">
        <is>
          <t>NASDAQ</t>
        </is>
      </c>
      <c r="D124" s="114" t="inlineStr"/>
      <c r="E124" s="112" t="inlineStr"/>
      <c r="F124" s="114" t="inlineStr"/>
      <c r="G124" s="112" t="inlineStr"/>
      <c r="H124" s="114" t="inlineStr"/>
      <c r="I124" s="113" t="inlineStr"/>
      <c r="J124" s="112" t="inlineStr"/>
      <c r="K124" s="112" t="inlineStr"/>
      <c r="L124" s="115" t="n">
        <v>986.6</v>
      </c>
      <c r="M124" s="115" t="n">
        <v>409.7</v>
      </c>
      <c r="N124" s="116" t="n"/>
      <c r="O124" s="117" t="inlineStr">
        <is>
          <t>CF+</t>
        </is>
      </c>
      <c r="P124" s="118" t="inlineStr">
        <is>
          <t>✅ CF+</t>
        </is>
      </c>
      <c r="Q124" s="119">
        <f>IFERROR(L124-M124,"")</f>
        <v/>
      </c>
      <c r="R124" s="120" t="n">
        <v>41.73</v>
      </c>
      <c r="S124" s="120" t="n">
        <v>21.29</v>
      </c>
      <c r="T124" s="121" t="inlineStr">
        <is>
          <t>Azenta, Inc. provides biological and chemical compound sample exploration and management solutions for the life sciences industry in the United States, China, the United Kingdom, rest of Europe, the A</t>
        </is>
      </c>
    </row>
    <row r="125" ht="30" customHeight="1" s="89">
      <c r="A125" s="100" t="inlineStr">
        <is>
          <t>QURE</t>
        </is>
      </c>
      <c r="B125" s="101" t="inlineStr">
        <is>
          <t>uniQure N.V.</t>
        </is>
      </c>
      <c r="C125" s="102" t="inlineStr">
        <is>
          <t>NASDAQ (ADR)</t>
        </is>
      </c>
      <c r="D125" s="169" t="inlineStr">
        <is>
          <t>Other</t>
        </is>
      </c>
      <c r="E125" s="101" t="inlineStr">
        <is>
          <t>Acute Intermittent Porphyria</t>
        </is>
      </c>
      <c r="F125" s="182" t="inlineStr">
        <is>
          <t>Gene Therapy</t>
        </is>
      </c>
      <c r="G125" s="101" t="inlineStr">
        <is>
          <t>rAAV2/5-PBGD vector dosage 1</t>
        </is>
      </c>
      <c r="H125" s="174" t="inlineStr">
        <is>
          <t>Phase 1</t>
        </is>
      </c>
      <c r="I125" s="102" t="inlineStr">
        <is>
          <t>Jul 2014</t>
        </is>
      </c>
      <c r="J125" s="101" t="inlineStr">
        <is>
          <t>Phase 1 Data / Dose Escalation</t>
        </is>
      </c>
      <c r="K125" s="101" t="inlineStr">
        <is>
          <t>Porphyria Centre Sweden; University of Navarra; UniQure N.V.</t>
        </is>
      </c>
      <c r="L125" s="104" t="n">
        <v>971.1</v>
      </c>
      <c r="M125" s="104" t="n">
        <v>622.5</v>
      </c>
      <c r="N125" s="123" t="n">
        <v>47</v>
      </c>
      <c r="O125" s="106">
        <f>IFERROR(ROUND(M125/N125,1),"")</f>
        <v/>
      </c>
      <c r="P125" s="107">
        <f>IFERROR(IF(O125="CF+","✅ CF+",IF(O125&lt;4,"🔴 &lt;4Q",IF(O125&lt;8,"🟡 4-8Q","🟢 &gt;8Q"))),"—")</f>
        <v/>
      </c>
      <c r="Q125" s="108">
        <f>IFERROR(L125-M125,"")</f>
        <v/>
      </c>
      <c r="R125" s="109" t="n">
        <v>71.5</v>
      </c>
      <c r="S125" s="109" t="n">
        <v>7.76</v>
      </c>
      <c r="T125" s="110" t="inlineStr">
        <is>
          <t>uniQure N.V. develops treatments for patients suffering from rare and other devastating diseases in the United States. The company offers HEMGENIX that allows people living with hemophilia B to produc</t>
        </is>
      </c>
    </row>
    <row r="126" ht="30" customHeight="1" s="89">
      <c r="A126" s="111" t="inlineStr">
        <is>
          <t>CMPX</t>
        </is>
      </c>
      <c r="B126" s="112" t="inlineStr">
        <is>
          <t>Compass Therapeutics, Inc.</t>
        </is>
      </c>
      <c r="C126" s="113" t="inlineStr">
        <is>
          <t>NASDAQ</t>
        </is>
      </c>
      <c r="D126" s="174" t="inlineStr">
        <is>
          <t>Oncology</t>
        </is>
      </c>
      <c r="E126" s="112" t="inlineStr">
        <is>
          <t>Metastatic Biliary Tract Cancer</t>
        </is>
      </c>
      <c r="F126" s="173" t="inlineStr">
        <is>
          <t>Monoclonal Ab (mAb)</t>
        </is>
      </c>
      <c r="G126" s="112" t="inlineStr">
        <is>
          <t>Gemcitabine</t>
        </is>
      </c>
      <c r="H126" s="176" t="inlineStr">
        <is>
          <t>Phase 1/2</t>
        </is>
      </c>
      <c r="I126" s="113" t="inlineStr">
        <is>
          <t>May 2027</t>
        </is>
      </c>
      <c r="J126" s="112" t="inlineStr">
        <is>
          <t>Phase 1/2 Data Readout</t>
        </is>
      </c>
      <c r="K126" s="112" t="inlineStr">
        <is>
          <t>Compass Therapeutics, Inc</t>
        </is>
      </c>
      <c r="L126" s="115" t="n">
        <v>923.1</v>
      </c>
      <c r="M126" s="115" t="n">
        <v>208.9</v>
      </c>
      <c r="N126" s="122" t="n">
        <v>11.3</v>
      </c>
      <c r="O126" s="117">
        <f>IFERROR(ROUND(M126/N126,1),"")</f>
        <v/>
      </c>
      <c r="P126" s="118">
        <f>IFERROR(IF(O126="CF+","✅ CF+",IF(O126&lt;4,"🔴 &lt;4Q",IF(O126&lt;8,"🟡 4-8Q","🟢 &gt;8Q"))),"—")</f>
        <v/>
      </c>
      <c r="Q126" s="119">
        <f>IFERROR(L126-M126,"")</f>
        <v/>
      </c>
      <c r="R126" s="120" t="n">
        <v>6.88</v>
      </c>
      <c r="S126" s="120" t="n">
        <v>1.33</v>
      </c>
      <c r="T126" s="121" t="inlineStr">
        <is>
          <t>Compass Therapeutics, Inc., a clinical-stage oncology-focused biopharmaceutical company, develops antibody-based therapeutics for the treatment of various human diseases in the United States. The comp</t>
        </is>
      </c>
    </row>
    <row r="127" ht="30" customHeight="1" s="89">
      <c r="A127" s="100" t="inlineStr">
        <is>
          <t>SLS</t>
        </is>
      </c>
      <c r="B127" s="101" t="inlineStr">
        <is>
          <t>SELLAS Life Sciences Group, Inc.</t>
        </is>
      </c>
      <c r="C127" s="102" t="inlineStr">
        <is>
          <t>NASDAQ</t>
        </is>
      </c>
      <c r="D127" s="174" t="inlineStr">
        <is>
          <t>Oncology</t>
        </is>
      </c>
      <c r="E127" s="101" t="inlineStr">
        <is>
          <t>Breast Cancer</t>
        </is>
      </c>
      <c r="F127" s="173" t="inlineStr">
        <is>
          <t>Monoclonal Ab (mAb)</t>
        </is>
      </c>
      <c r="G127" s="101" t="inlineStr">
        <is>
          <t>NeuVax vaccine</t>
        </is>
      </c>
      <c r="H127" s="168" t="inlineStr">
        <is>
          <t>Phase 2</t>
        </is>
      </c>
      <c r="I127" s="102" t="inlineStr">
        <is>
          <t>Dec 2021</t>
        </is>
      </c>
      <c r="J127" s="101" t="inlineStr">
        <is>
          <t>Phase 2 Data Readout</t>
        </is>
      </c>
      <c r="K127" s="101" t="inlineStr">
        <is>
          <t>Genentech, Inc.; Sellas Life Sciences Group</t>
        </is>
      </c>
      <c r="L127" s="104" t="n">
        <v>914.4</v>
      </c>
      <c r="M127" s="104" t="n">
        <v>44.3</v>
      </c>
      <c r="N127" s="123" t="n">
        <v>7.2</v>
      </c>
      <c r="O127" s="106">
        <f>IFERROR(ROUND(M127/N127,1),"")</f>
        <v/>
      </c>
      <c r="P127" s="107">
        <f>IFERROR(IF(O127="CF+","✅ CF+",IF(O127&lt;4,"🔴 &lt;4Q",IF(O127&lt;8,"🟡 4-8Q","🟢 &gt;8Q"))),"—")</f>
        <v/>
      </c>
      <c r="Q127" s="108">
        <f>IFERROR(L127-M127,"")</f>
        <v/>
      </c>
      <c r="R127" s="109" t="n">
        <v>6.14</v>
      </c>
      <c r="S127" s="109" t="n">
        <v>0.95</v>
      </c>
      <c r="T127" s="110" t="inlineStr">
        <is>
          <t>SELLAS Life Sciences Group, Inc., a late-stage clinical biopharmaceutical company, focuses on the development of novel therapeutics for various cancer indications in the United States. The company's l</t>
        </is>
      </c>
    </row>
    <row r="128" ht="30" customHeight="1" s="89">
      <c r="A128" s="111" t="inlineStr">
        <is>
          <t>NNNN</t>
        </is>
      </c>
      <c r="B128" s="112" t="inlineStr">
        <is>
          <t>Anbio Biotechnology</t>
        </is>
      </c>
      <c r="C128" s="113" t="inlineStr">
        <is>
          <t>NGM (ADR)</t>
        </is>
      </c>
      <c r="D128" s="114" t="inlineStr"/>
      <c r="E128" s="112" t="inlineStr"/>
      <c r="F128" s="114" t="inlineStr"/>
      <c r="G128" s="112" t="inlineStr"/>
      <c r="H128" s="114" t="inlineStr"/>
      <c r="I128" s="113" t="inlineStr"/>
      <c r="J128" s="112" t="inlineStr"/>
      <c r="K128" s="112" t="inlineStr"/>
      <c r="L128" s="115" t="n">
        <v>900.2</v>
      </c>
      <c r="M128" s="115" t="n">
        <v>13.4</v>
      </c>
      <c r="N128" s="116" t="n"/>
      <c r="O128" s="117" t="inlineStr">
        <is>
          <t>CF+</t>
        </is>
      </c>
      <c r="P128" s="118" t="inlineStr">
        <is>
          <t>✅ CF+</t>
        </is>
      </c>
      <c r="Q128" s="119">
        <f>IFERROR(L128-M128,"")</f>
        <v/>
      </c>
      <c r="R128" s="120" t="n">
        <v>55.65</v>
      </c>
      <c r="S128" s="120" t="n">
        <v>5.89</v>
      </c>
      <c r="T128" s="121" t="inlineStr">
        <is>
          <t xml:space="preserve">Anbio Biotechnology provides in vitro diagnostics (IVD) products in the European Union, the Asia Pacific, North America, South America, Africa, and internationally. It offers SARS-CoV-2 antigen rapid </t>
        </is>
      </c>
    </row>
    <row r="129" ht="30" customHeight="1" s="89">
      <c r="A129" s="100" t="inlineStr">
        <is>
          <t>URGN</t>
        </is>
      </c>
      <c r="B129" s="101" t="inlineStr">
        <is>
          <t>UroGen Pharma Ltd.</t>
        </is>
      </c>
      <c r="C129" s="102" t="inlineStr">
        <is>
          <t>NGM</t>
        </is>
      </c>
      <c r="D129" s="174" t="inlineStr">
        <is>
          <t>Oncology</t>
        </is>
      </c>
      <c r="E129" s="101" t="inlineStr">
        <is>
          <t>Upper Urinary Tract Urothelial Carcinoma</t>
        </is>
      </c>
      <c r="F129" s="171" t="inlineStr">
        <is>
          <t>Small Molecule</t>
        </is>
      </c>
      <c r="G129" s="101" t="inlineStr">
        <is>
          <t>UGN-104</t>
        </is>
      </c>
      <c r="H129" s="172" t="inlineStr">
        <is>
          <t>Phase 3</t>
        </is>
      </c>
      <c r="I129" s="102" t="inlineStr">
        <is>
          <t>Oct 2026</t>
        </is>
      </c>
      <c r="J129" s="101" t="inlineStr">
        <is>
          <t>Commercial / Label Expansion</t>
        </is>
      </c>
      <c r="K129" s="101" t="inlineStr"/>
      <c r="L129" s="104" t="n">
        <v>897.7</v>
      </c>
      <c r="M129" s="104" t="n">
        <v>120.5</v>
      </c>
      <c r="N129" s="123" t="n">
        <v>40.3</v>
      </c>
      <c r="O129" s="106">
        <f>IFERROR(ROUND(M129/N129,1),"")</f>
        <v/>
      </c>
      <c r="P129" s="107">
        <f>IFERROR(IF(O129="CF+","✅ CF+",IF(O129&lt;4,"🔴 &lt;4Q",IF(O129&lt;8,"🟡 4-8Q","🟢 &gt;8Q"))),"—")</f>
        <v/>
      </c>
      <c r="Q129" s="108">
        <f>IFERROR(L129-M129,"")</f>
        <v/>
      </c>
      <c r="R129" s="109" t="n">
        <v>30</v>
      </c>
      <c r="S129" s="109" t="n">
        <v>3.42</v>
      </c>
      <c r="T129" s="110" t="inlineStr">
        <is>
          <t>UroGen Pharma Ltd., a biotechnology company, engages in the development and commercialization of solutions for urothelial and specialty cancers. It offers RTGel, a novel proprietary polymeric biocompa</t>
        </is>
      </c>
    </row>
    <row r="130" ht="30" customHeight="1" s="89">
      <c r="A130" s="111" t="inlineStr">
        <is>
          <t>SANA</t>
        </is>
      </c>
      <c r="B130" s="112" t="inlineStr">
        <is>
          <t>Sana Biotechnology, Inc.</t>
        </is>
      </c>
      <c r="C130" s="113" t="inlineStr">
        <is>
          <t>NASDAQ</t>
        </is>
      </c>
      <c r="D130" s="174" t="inlineStr">
        <is>
          <t>Oncology</t>
        </is>
      </c>
      <c r="E130" s="112" t="inlineStr">
        <is>
          <t>Leukodystrophy</t>
        </is>
      </c>
      <c r="F130" s="114" t="inlineStr"/>
      <c r="G130" s="112" t="inlineStr"/>
      <c r="H130" s="169" t="inlineStr">
        <is>
          <t>Preclinical</t>
        </is>
      </c>
      <c r="I130" s="113" t="inlineStr">
        <is>
          <t>Dec 2030</t>
        </is>
      </c>
      <c r="J130" s="112" t="inlineStr">
        <is>
          <t>Clinical Update</t>
        </is>
      </c>
      <c r="K130" s="112" t="inlineStr">
        <is>
          <t>National Institutes of Health (NIH); National Institute of Neurological Disorders and Stroke (NINDS); National Center for Advancing Translational Sciences (NCATS)</t>
        </is>
      </c>
      <c r="L130" s="115" t="n">
        <v>896.7</v>
      </c>
      <c r="M130" s="115" t="n">
        <v>138.4</v>
      </c>
      <c r="N130" s="122" t="n">
        <v>31</v>
      </c>
      <c r="O130" s="117">
        <f>IFERROR(ROUND(M130/N130,1),"")</f>
        <v/>
      </c>
      <c r="P130" s="118">
        <f>IFERROR(IF(O130="CF+","✅ CF+",IF(O130&lt;4,"🔴 &lt;4Q",IF(O130&lt;8,"🟡 4-8Q","🟢 &gt;8Q"))),"—")</f>
        <v/>
      </c>
      <c r="Q130" s="119">
        <f>IFERROR(L130-M130,"")</f>
        <v/>
      </c>
      <c r="R130" s="120" t="n">
        <v>6.55</v>
      </c>
      <c r="S130" s="120" t="n">
        <v>1.26</v>
      </c>
      <c r="T130" s="121" t="inlineStr">
        <is>
          <t>Sana Biotechnology, Inc., a biotechnology company, focuses on utilizing engineered cells as medicines in the United States. It develops ex vivo and in vivo cell engineering platforms for various thera</t>
        </is>
      </c>
    </row>
    <row r="131" ht="30" customHeight="1" s="89">
      <c r="A131" s="100" t="inlineStr">
        <is>
          <t>XNCR</t>
        </is>
      </c>
      <c r="B131" s="101" t="inlineStr">
        <is>
          <t>Xencor, Inc.</t>
        </is>
      </c>
      <c r="C131" s="102" t="inlineStr">
        <is>
          <t>NGM</t>
        </is>
      </c>
      <c r="D131" s="174" t="inlineStr">
        <is>
          <t>Oncology</t>
        </is>
      </c>
      <c r="E131" s="101" t="inlineStr">
        <is>
          <t>Ovarian Cancer</t>
        </is>
      </c>
      <c r="F131" s="173" t="inlineStr">
        <is>
          <t>Monoclonal Ab (mAb)</t>
        </is>
      </c>
      <c r="G131" s="101" t="inlineStr">
        <is>
          <t>vudalimab</t>
        </is>
      </c>
      <c r="H131" s="168" t="inlineStr">
        <is>
          <t>Phase 2</t>
        </is>
      </c>
      <c r="I131" s="102" t="inlineStr">
        <is>
          <t>Oct 2025</t>
        </is>
      </c>
      <c r="J131" s="101" t="inlineStr">
        <is>
          <t>Phase 2 Data Readout</t>
        </is>
      </c>
      <c r="K131" s="101" t="inlineStr">
        <is>
          <t>ICON plc</t>
        </is>
      </c>
      <c r="L131" s="104" t="n">
        <v>880.1</v>
      </c>
      <c r="M131" s="104" t="n">
        <v>547.7</v>
      </c>
      <c r="N131" s="123" t="n">
        <v>41.3</v>
      </c>
      <c r="O131" s="106">
        <f>IFERROR(ROUND(M131/N131,1),"")</f>
        <v/>
      </c>
      <c r="P131" s="107">
        <f>IFERROR(IF(O131="CF+","✅ CF+",IF(O131&lt;4,"🔴 &lt;4Q",IF(O131&lt;8,"🟡 4-8Q","🟢 &gt;8Q"))),"—")</f>
        <v/>
      </c>
      <c r="Q131" s="108">
        <f>IFERROR(L131-M131,"")</f>
        <v/>
      </c>
      <c r="R131" s="109" t="n">
        <v>18.69</v>
      </c>
      <c r="S131" s="109" t="n">
        <v>6.92</v>
      </c>
      <c r="T131" s="110" t="inlineStr">
        <is>
          <t>Xencor, Inc., a clinical-stage biopharmaceutical company, focuses on the discovery and development of engineered antibodies for the treatment of cancer and autoimmune diseases. The company provides Ul</t>
        </is>
      </c>
    </row>
    <row r="132" ht="30" customHeight="1" s="89">
      <c r="A132" s="111" t="inlineStr">
        <is>
          <t>KALV</t>
        </is>
      </c>
      <c r="B132" s="112" t="inlineStr">
        <is>
          <t>KalVista Pharmaceuticals, Inc.</t>
        </is>
      </c>
      <c r="C132" s="113" t="inlineStr">
        <is>
          <t>NGM</t>
        </is>
      </c>
      <c r="D132" s="114" t="inlineStr"/>
      <c r="E132" s="112" t="inlineStr"/>
      <c r="F132" s="114" t="inlineStr"/>
      <c r="G132" s="112" t="inlineStr"/>
      <c r="H132" s="114" t="inlineStr"/>
      <c r="I132" s="113" t="inlineStr"/>
      <c r="J132" s="112" t="inlineStr"/>
      <c r="K132" s="112" t="inlineStr"/>
      <c r="L132" s="115" t="n">
        <v>856.3</v>
      </c>
      <c r="M132" s="115" t="n">
        <v>309.2</v>
      </c>
      <c r="N132" s="122" t="n">
        <v>47.4</v>
      </c>
      <c r="O132" s="117">
        <f>IFERROR(ROUND(M132/N132,1),"")</f>
        <v/>
      </c>
      <c r="P132" s="118">
        <f>IFERROR(IF(O132="CF+","✅ CF+",IF(O132&lt;4,"🔴 &lt;4Q",IF(O132&lt;8,"🟡 4-8Q","🟢 &gt;8Q"))),"—")</f>
        <v/>
      </c>
      <c r="Q132" s="119">
        <f>IFERROR(L132-M132,"")</f>
        <v/>
      </c>
      <c r="R132" s="120" t="n">
        <v>19</v>
      </c>
      <c r="S132" s="120" t="n">
        <v>9.23</v>
      </c>
      <c r="T132" s="121" t="inlineStr">
        <is>
          <t>KalVista Pharmaceuticals, Inc., a biopharmaceutical company, engages in the discovery, development, and commercialization of drug therapies inhibitors for diseases with unmet needs. The company's prod</t>
        </is>
      </c>
    </row>
    <row r="133" ht="30" customHeight="1" s="89">
      <c r="A133" s="100" t="inlineStr">
        <is>
          <t>MNKD</t>
        </is>
      </c>
      <c r="B133" s="101" t="inlineStr">
        <is>
          <t>MannKind Corporation</t>
        </is>
      </c>
      <c r="C133" s="102" t="inlineStr">
        <is>
          <t>NGM</t>
        </is>
      </c>
      <c r="D133" s="168" t="inlineStr">
        <is>
          <t>Cardiometabolic</t>
        </is>
      </c>
      <c r="E133" s="101" t="inlineStr">
        <is>
          <t>Type 2 Diabetes</t>
        </is>
      </c>
      <c r="F133" s="181" t="inlineStr">
        <is>
          <t>Protein / Peptide</t>
        </is>
      </c>
      <c r="G133" s="101" t="inlineStr">
        <is>
          <t>Technosphere® Insulin</t>
        </is>
      </c>
      <c r="H133" s="172" t="inlineStr">
        <is>
          <t>Phase 3</t>
        </is>
      </c>
      <c r="I133" s="102" t="inlineStr">
        <is>
          <t>Jun 2013</t>
        </is>
      </c>
      <c r="J133" s="101" t="inlineStr">
        <is>
          <t>Phase 3 Data Readout</t>
        </is>
      </c>
      <c r="K133" s="101" t="inlineStr"/>
      <c r="L133" s="104" t="n">
        <v>853.4</v>
      </c>
      <c r="M133" s="104" t="n">
        <v>171.3</v>
      </c>
      <c r="N133" s="105" t="n"/>
      <c r="O133" s="106" t="inlineStr">
        <is>
          <t>CF+</t>
        </is>
      </c>
      <c r="P133" s="107" t="inlineStr">
        <is>
          <t>✅ CF+</t>
        </is>
      </c>
      <c r="Q133" s="108">
        <f>IFERROR(L133-M133,"")</f>
        <v/>
      </c>
      <c r="R133" s="109" t="n">
        <v>6.51</v>
      </c>
      <c r="S133" s="109" t="n">
        <v>2.52</v>
      </c>
      <c r="T133" s="110" t="inlineStr">
        <is>
          <t>MannKind Corporation, a biopharmaceutical company, focuses on the provision of various solutions for transforming chronic disease care. It develops and commercializes treatments that address serious u</t>
        </is>
      </c>
    </row>
    <row r="134" ht="30" customHeight="1" s="89">
      <c r="A134" s="111" t="inlineStr">
        <is>
          <t>ANNX</t>
        </is>
      </c>
      <c r="B134" s="112" t="inlineStr">
        <is>
          <t>Annexon, Inc.</t>
        </is>
      </c>
      <c r="C134" s="113" t="inlineStr">
        <is>
          <t>NASDAQ</t>
        </is>
      </c>
      <c r="D134" s="177" t="inlineStr">
        <is>
          <t>CNS</t>
        </is>
      </c>
      <c r="E134" s="112" t="inlineStr">
        <is>
          <t>Guillain-Barre Syndrome</t>
        </is>
      </c>
      <c r="F134" s="171" t="inlineStr">
        <is>
          <t>Small Molecule</t>
        </is>
      </c>
      <c r="G134" s="112" t="inlineStr">
        <is>
          <t>Tanruprubart</t>
        </is>
      </c>
      <c r="H134" s="172" t="inlineStr">
        <is>
          <t>Phase 3</t>
        </is>
      </c>
      <c r="I134" s="113" t="inlineStr">
        <is>
          <t>Dec 2026</t>
        </is>
      </c>
      <c r="J134" s="112" t="inlineStr">
        <is>
          <t>Phase 3 Readout</t>
        </is>
      </c>
      <c r="K134" s="112" t="inlineStr"/>
      <c r="L134" s="115" t="n">
        <v>843.7</v>
      </c>
      <c r="M134" s="115" t="n">
        <v>188.7</v>
      </c>
      <c r="N134" s="122" t="n">
        <v>45.2</v>
      </c>
      <c r="O134" s="117">
        <f>IFERROR(ROUND(M134/N134,1),"")</f>
        <v/>
      </c>
      <c r="P134" s="118">
        <f>IFERROR(IF(O134="CF+","✅ CF+",IF(O134&lt;4,"🔴 &lt;4Q",IF(O134&lt;8,"🟡 4-8Q","🟢 &gt;8Q"))),"—")</f>
        <v/>
      </c>
      <c r="Q134" s="119">
        <f>IFERROR(L134-M134,"")</f>
        <v/>
      </c>
      <c r="R134" s="120" t="n">
        <v>7.18</v>
      </c>
      <c r="S134" s="120" t="n">
        <v>1.28</v>
      </c>
      <c r="T134" s="121" t="inlineStr">
        <is>
          <t>Annexon, Inc., a clinical-stage biopharmaceutical company, discovers and develops medicines for treating inflammatory-related diseases. The company's lead candidate is ANX005, an investigational full-</t>
        </is>
      </c>
    </row>
    <row r="135" ht="30" customHeight="1" s="89">
      <c r="A135" s="100" t="inlineStr">
        <is>
          <t>JANX</t>
        </is>
      </c>
      <c r="B135" s="101" t="inlineStr">
        <is>
          <t>Janux Therapeutics, Inc.</t>
        </is>
      </c>
      <c r="C135" s="102" t="inlineStr">
        <is>
          <t>NGM</t>
        </is>
      </c>
      <c r="D135" s="103" t="inlineStr"/>
      <c r="E135" s="101" t="inlineStr"/>
      <c r="F135" s="103" t="inlineStr"/>
      <c r="G135" s="101" t="inlineStr"/>
      <c r="H135" s="103" t="inlineStr"/>
      <c r="I135" s="102" t="inlineStr"/>
      <c r="J135" s="101" t="inlineStr"/>
      <c r="K135" s="101" t="inlineStr"/>
      <c r="L135" s="104" t="n">
        <v>826.1</v>
      </c>
      <c r="M135" s="104" t="n">
        <v>966.6</v>
      </c>
      <c r="N135" s="123" t="n">
        <v>20.7</v>
      </c>
      <c r="O135" s="106">
        <f>IFERROR(ROUND(M135/N135,1),"")</f>
        <v/>
      </c>
      <c r="P135" s="107">
        <f>IFERROR(IF(O135="CF+","✅ CF+",IF(O135&lt;4,"🔴 &lt;4Q",IF(O135&lt;8,"🟡 4-8Q","🟢 &gt;8Q"))),"—")</f>
        <v/>
      </c>
      <c r="Q135" s="108">
        <f>IFERROR(L135-M135,"")</f>
        <v/>
      </c>
      <c r="R135" s="109" t="n">
        <v>35.34</v>
      </c>
      <c r="S135" s="109" t="n">
        <v>12.12</v>
      </c>
      <c r="T135" s="110" t="inlineStr">
        <is>
          <t xml:space="preserve">Janux Therapeutics, Inc., a clinical stage biopharmaceutical company, develops immunotherapies based on Tumor Activated T Cell Engager (TRACTr), Tumor Activated Immunomodulator (TRACIr), and Adaptive </t>
        </is>
      </c>
    </row>
    <row r="136" ht="30" customHeight="1" s="89">
      <c r="A136" s="111" t="inlineStr">
        <is>
          <t>PHAT</t>
        </is>
      </c>
      <c r="B136" s="112" t="inlineStr">
        <is>
          <t>Phathom Pharmaceuticals, Inc.</t>
        </is>
      </c>
      <c r="C136" s="113" t="inlineStr">
        <is>
          <t>NASDAQ</t>
        </is>
      </c>
      <c r="D136" s="174" t="inlineStr">
        <is>
          <t>Oncology</t>
        </is>
      </c>
      <c r="E136" s="112" t="inlineStr">
        <is>
          <t>Helicobacter Pylori Infection</t>
        </is>
      </c>
      <c r="F136" s="171" t="inlineStr">
        <is>
          <t>Small Molecule</t>
        </is>
      </c>
      <c r="G136" s="112" t="inlineStr">
        <is>
          <t>Vonoprazan</t>
        </is>
      </c>
      <c r="H136" s="172" t="inlineStr">
        <is>
          <t>Phase 3</t>
        </is>
      </c>
      <c r="I136" s="113" t="inlineStr">
        <is>
          <t>Mar 2021</t>
        </is>
      </c>
      <c r="J136" s="112" t="inlineStr">
        <is>
          <t>Phase 3 Data Readout</t>
        </is>
      </c>
      <c r="K136" s="112" t="inlineStr"/>
      <c r="L136" s="115" t="n">
        <v>817.1</v>
      </c>
      <c r="M136" s="115" t="n">
        <v>130</v>
      </c>
      <c r="N136" s="122" t="n">
        <v>9.6</v>
      </c>
      <c r="O136" s="117">
        <f>IFERROR(ROUND(M136/N136,1),"")</f>
        <v/>
      </c>
      <c r="P136" s="118">
        <f>IFERROR(IF(O136="CF+","✅ CF+",IF(O136&lt;4,"🔴 &lt;4Q",IF(O136&lt;8,"🟡 4-8Q","🟢 &gt;8Q"))),"—")</f>
        <v/>
      </c>
      <c r="Q136" s="119">
        <f>IFERROR(L136-M136,"")</f>
        <v/>
      </c>
      <c r="R136" s="120" t="n">
        <v>18.31</v>
      </c>
      <c r="S136" s="120" t="n">
        <v>2.21</v>
      </c>
      <c r="T136" s="121" t="inlineStr">
        <is>
          <t>Phathom Pharmaceuticals, Inc., a biopharmaceutical company, focuses on developing and commercializing treatments for gastrointestinal diseases in the United States. It develops VOQUEZNA, which has com</t>
        </is>
      </c>
    </row>
    <row r="137" ht="30" customHeight="1" s="89">
      <c r="A137" s="100" t="inlineStr">
        <is>
          <t>OCGN</t>
        </is>
      </c>
      <c r="B137" s="101" t="inlineStr">
        <is>
          <t>Ocugen, Inc.</t>
        </is>
      </c>
      <c r="C137" s="102" t="inlineStr">
        <is>
          <t>NASDAQ</t>
        </is>
      </c>
      <c r="D137" s="103" t="inlineStr"/>
      <c r="E137" s="101" t="inlineStr"/>
      <c r="F137" s="103" t="inlineStr"/>
      <c r="G137" s="101" t="inlineStr"/>
      <c r="H137" s="103" t="inlineStr"/>
      <c r="I137" s="102" t="inlineStr"/>
      <c r="J137" s="101" t="inlineStr"/>
      <c r="K137" s="101" t="inlineStr"/>
      <c r="L137" s="104" t="n">
        <v>813.2</v>
      </c>
      <c r="M137" s="104" t="n">
        <v>18.6</v>
      </c>
      <c r="N137" s="123" t="n">
        <v>13.4</v>
      </c>
      <c r="O137" s="106">
        <f>IFERROR(ROUND(M137/N137,1),"")</f>
        <v/>
      </c>
      <c r="P137" s="107">
        <f>IFERROR(IF(O137="CF+","✅ CF+",IF(O137&lt;4,"🔴 &lt;4Q",IF(O137&lt;8,"🟡 4-8Q","🟢 &gt;8Q"))),"—")</f>
        <v/>
      </c>
      <c r="Q137" s="108">
        <f>IFERROR(L137-M137,"")</f>
        <v/>
      </c>
      <c r="R137" s="109" t="n">
        <v>2.67</v>
      </c>
      <c r="S137" s="109" t="n">
        <v>0.52</v>
      </c>
      <c r="T137" s="110" t="inlineStr">
        <is>
          <t>Ocugen, Inc., a biopharmaceutical company, focuses on discovering, developing, and commercializing novel gene and cell therapies, biologic, and vaccines that improve patients' health. The company's pi</t>
        </is>
      </c>
    </row>
    <row r="138" ht="30" customHeight="1" s="89">
      <c r="A138" s="111" t="inlineStr">
        <is>
          <t>CGEM</t>
        </is>
      </c>
      <c r="B138" s="112" t="inlineStr">
        <is>
          <t>Cullinan Therapeutics, Inc.</t>
        </is>
      </c>
      <c r="C138" s="113" t="inlineStr">
        <is>
          <t>NASDAQ</t>
        </is>
      </c>
      <c r="D138" s="174" t="inlineStr">
        <is>
          <t>Oncology</t>
        </is>
      </c>
      <c r="E138" s="112" t="inlineStr">
        <is>
          <t>Non Small Cell Lung Cancer</t>
        </is>
      </c>
      <c r="F138" s="171" t="inlineStr">
        <is>
          <t>Small Molecule</t>
        </is>
      </c>
      <c r="G138" s="112" t="inlineStr">
        <is>
          <t>CLN-081</t>
        </is>
      </c>
      <c r="H138" s="176" t="inlineStr">
        <is>
          <t>Phase 1/2</t>
        </is>
      </c>
      <c r="I138" s="113" t="inlineStr">
        <is>
          <t>Jan 2026</t>
        </is>
      </c>
      <c r="J138" s="112" t="inlineStr">
        <is>
          <t>Phase 1/2 Data Readout</t>
        </is>
      </c>
      <c r="K138" s="112" t="inlineStr"/>
      <c r="L138" s="115" t="n">
        <v>796.9</v>
      </c>
      <c r="M138" s="115" t="n">
        <v>377.9</v>
      </c>
      <c r="N138" s="122" t="n">
        <v>47.2</v>
      </c>
      <c r="O138" s="117">
        <f>IFERROR(ROUND(M138/N138,1),"")</f>
        <v/>
      </c>
      <c r="P138" s="118">
        <f>IFERROR(IF(O138="CF+","✅ CF+",IF(O138&lt;4,"🔴 &lt;4Q",IF(O138&lt;8,"🟡 4-8Q","🟢 &gt;8Q"))),"—")</f>
        <v/>
      </c>
      <c r="Q138" s="119">
        <f>IFERROR(L138-M138,"")</f>
        <v/>
      </c>
      <c r="R138" s="120" t="n">
        <v>16.74</v>
      </c>
      <c r="S138" s="120" t="n">
        <v>5.68</v>
      </c>
      <c r="T138" s="121" t="inlineStr">
        <is>
          <t>Cullinan Therapeutics, Inc., a clinical-stage biopharmaceutical company, develops therapies for autoimmune diseases and cancer in the United States. It engages in the development of CLN-978, a CD19xCD</t>
        </is>
      </c>
    </row>
    <row r="139" ht="30" customHeight="1" s="89">
      <c r="A139" s="100" t="inlineStr">
        <is>
          <t>OMER</t>
        </is>
      </c>
      <c r="B139" s="101" t="inlineStr">
        <is>
          <t>Omeros Corporation</t>
        </is>
      </c>
      <c r="C139" s="102" t="inlineStr">
        <is>
          <t>NGM</t>
        </is>
      </c>
      <c r="D139" s="179" t="inlineStr">
        <is>
          <t>Ophthalmology</t>
        </is>
      </c>
      <c r="E139" s="101" t="inlineStr">
        <is>
          <t>Knee Injuries</t>
        </is>
      </c>
      <c r="F139" s="171" t="inlineStr">
        <is>
          <t>Small Molecule</t>
        </is>
      </c>
      <c r="G139" s="101" t="inlineStr">
        <is>
          <t>OMS103HP</t>
        </is>
      </c>
      <c r="H139" s="172" t="inlineStr">
        <is>
          <t>Phase 3</t>
        </is>
      </c>
      <c r="I139" s="102" t="inlineStr">
        <is>
          <t>Sep 2010</t>
        </is>
      </c>
      <c r="J139" s="101" t="inlineStr">
        <is>
          <t>Phase 3 Data Readout</t>
        </is>
      </c>
      <c r="K139" s="101" t="inlineStr"/>
      <c r="L139" s="104" t="n">
        <v>793.4</v>
      </c>
      <c r="M139" s="104" t="n">
        <v>36.1</v>
      </c>
      <c r="N139" s="123" t="n">
        <v>20.2</v>
      </c>
      <c r="O139" s="106">
        <f>IFERROR(ROUND(M139/N139,1),"")</f>
        <v/>
      </c>
      <c r="P139" s="107">
        <f>IFERROR(IF(O139="CF+","✅ CF+",IF(O139&lt;4,"🔴 &lt;4Q",IF(O139&lt;8,"🟡 4-8Q","🟢 &gt;8Q"))),"—")</f>
        <v/>
      </c>
      <c r="Q139" s="108">
        <f>IFERROR(L139-M139,"")</f>
        <v/>
      </c>
      <c r="R139" s="109" t="n">
        <v>17.65</v>
      </c>
      <c r="S139" s="109" t="n">
        <v>2.95</v>
      </c>
      <c r="T139" s="110" t="inlineStr">
        <is>
          <t xml:space="preserve">Omeros Corporation, a clinical-stage biopharmaceutical company, discovers, develops, and commercializes small-molecule and protein therapeutics, and orphan indications targeting immunologic diseases. </t>
        </is>
      </c>
    </row>
    <row r="140" ht="30" customHeight="1" s="89">
      <c r="A140" s="111" t="inlineStr">
        <is>
          <t>CTMX</t>
        </is>
      </c>
      <c r="B140" s="112" t="inlineStr">
        <is>
          <t>CytomX Therapeutics, Inc.</t>
        </is>
      </c>
      <c r="C140" s="113" t="inlineStr">
        <is>
          <t>NASDAQ</t>
        </is>
      </c>
      <c r="D140" s="114" t="inlineStr"/>
      <c r="E140" s="112" t="inlineStr"/>
      <c r="F140" s="114" t="inlineStr"/>
      <c r="G140" s="112" t="inlineStr"/>
      <c r="H140" s="114" t="inlineStr"/>
      <c r="I140" s="113" t="inlineStr"/>
      <c r="J140" s="112" t="inlineStr"/>
      <c r="K140" s="112" t="inlineStr"/>
      <c r="L140" s="115" t="n">
        <v>793</v>
      </c>
      <c r="M140" s="115" t="n">
        <v>143.6</v>
      </c>
      <c r="N140" s="122" t="n">
        <v>15.7</v>
      </c>
      <c r="O140" s="117">
        <f>IFERROR(ROUND(M140/N140,1),"")</f>
        <v/>
      </c>
      <c r="P140" s="118">
        <f>IFERROR(IF(O140="CF+","✅ CF+",IF(O140&lt;4,"🔴 &lt;4Q",IF(O140&lt;8,"🟡 4-8Q","🟢 &gt;8Q"))),"—")</f>
        <v/>
      </c>
      <c r="Q140" s="119">
        <f>IFERROR(L140-M140,"")</f>
        <v/>
      </c>
      <c r="R140" s="120" t="n">
        <v>6.35</v>
      </c>
      <c r="S140" s="120" t="n">
        <v>0.4</v>
      </c>
      <c r="T140" s="121" t="inlineStr">
        <is>
          <t>CytomX Therapeutics, Inc. operates as an oncology-focused biopharmaceutical company that focuses on developing novel conditionally activated biologics localized to the tumor microenvironment. The comp</t>
        </is>
      </c>
    </row>
    <row r="141" ht="30" customHeight="1" s="89">
      <c r="A141" s="100" t="inlineStr">
        <is>
          <t>APOG</t>
        </is>
      </c>
      <c r="B141" s="101" t="inlineStr">
        <is>
          <t>Apogee Enterprises, Inc.</t>
        </is>
      </c>
      <c r="C141" s="102" t="inlineStr">
        <is>
          <t>NASDAQ</t>
        </is>
      </c>
      <c r="D141" s="103" t="inlineStr"/>
      <c r="E141" s="101" t="inlineStr"/>
      <c r="F141" s="103" t="inlineStr"/>
      <c r="G141" s="101" t="inlineStr"/>
      <c r="H141" s="103" t="inlineStr"/>
      <c r="I141" s="102" t="inlineStr"/>
      <c r="J141" s="101" t="inlineStr"/>
      <c r="K141" s="101" t="inlineStr"/>
      <c r="L141" s="104" t="n">
        <v>715.7</v>
      </c>
      <c r="M141" s="104" t="n">
        <v>48.6</v>
      </c>
      <c r="N141" s="105" t="n"/>
      <c r="O141" s="106" t="inlineStr">
        <is>
          <t>CF+</t>
        </is>
      </c>
      <c r="P141" s="107" t="inlineStr">
        <is>
          <t>✅ CF+</t>
        </is>
      </c>
      <c r="Q141" s="108">
        <f>IFERROR(L141-M141,"")</f>
        <v/>
      </c>
      <c r="R141" s="109" t="n">
        <v>49.99</v>
      </c>
      <c r="S141" s="109" t="n">
        <v>30.75</v>
      </c>
      <c r="T141" s="110" t="inlineStr">
        <is>
          <t>Apogee Enterprises, Inc. provides architectural products and services for enclosing buildings, and glass and acrylic products used for preservation, protection, and enhanced viewing in the United Stat</t>
        </is>
      </c>
    </row>
    <row r="142" ht="30" customHeight="1" s="89">
      <c r="A142" s="111" t="inlineStr">
        <is>
          <t>TBPH</t>
        </is>
      </c>
      <c r="B142" s="112" t="inlineStr">
        <is>
          <t>Theravance Biopharma, Inc.</t>
        </is>
      </c>
      <c r="C142" s="113" t="inlineStr">
        <is>
          <t>NGM</t>
        </is>
      </c>
      <c r="D142" s="174" t="inlineStr">
        <is>
          <t>Oncology</t>
        </is>
      </c>
      <c r="E142" s="112" t="inlineStr">
        <is>
          <t>Chronic Obstructive Pulmonary Disease (COPD)</t>
        </is>
      </c>
      <c r="F142" s="171" t="inlineStr">
        <is>
          <t>Small Molecule</t>
        </is>
      </c>
      <c r="G142" s="112" t="inlineStr">
        <is>
          <t>Revefenacin</t>
        </is>
      </c>
      <c r="H142" s="172" t="inlineStr">
        <is>
          <t>Phase 3</t>
        </is>
      </c>
      <c r="I142" s="113" t="inlineStr">
        <is>
          <t>Sep 2018</t>
        </is>
      </c>
      <c r="J142" s="112" t="inlineStr">
        <is>
          <t>Phase 3 Data Readout</t>
        </is>
      </c>
      <c r="K142" s="112" t="inlineStr">
        <is>
          <t>Theravance Biopharma</t>
        </is>
      </c>
      <c r="L142" s="115" t="n">
        <v>698.3</v>
      </c>
      <c r="M142" s="115" t="n">
        <v>329.7</v>
      </c>
      <c r="N142" s="116" t="n"/>
      <c r="O142" s="117" t="inlineStr">
        <is>
          <t>CF+</t>
        </is>
      </c>
      <c r="P142" s="118" t="inlineStr">
        <is>
          <t>✅ CF+</t>
        </is>
      </c>
      <c r="Q142" s="119">
        <f>IFERROR(L142-M142,"")</f>
        <v/>
      </c>
      <c r="R142" s="120" t="n">
        <v>21.03</v>
      </c>
      <c r="S142" s="120" t="n">
        <v>7.9</v>
      </c>
      <c r="T142" s="121" t="inlineStr">
        <is>
          <t>Theravance Biopharma, Inc., a biopharmaceutical company, develops and commercializes medicines in the United States. It offers YUPELRI, a once-daily, nebulized long-acting muscarinic antagonist for th</t>
        </is>
      </c>
    </row>
    <row r="143" ht="30" customHeight="1" s="89">
      <c r="A143" s="100" t="inlineStr">
        <is>
          <t>AGMB</t>
        </is>
      </c>
      <c r="B143" s="101" t="inlineStr">
        <is>
          <t>AgomAb Therapeutics NV</t>
        </is>
      </c>
      <c r="C143" s="102" t="inlineStr">
        <is>
          <t>NASDAQ (ADR)</t>
        </is>
      </c>
      <c r="D143" s="178" t="inlineStr">
        <is>
          <t>Immunology</t>
        </is>
      </c>
      <c r="E143" s="101" t="inlineStr">
        <is>
          <t>Fibrostenotic Crohn's Disease</t>
        </is>
      </c>
      <c r="F143" s="171" t="inlineStr">
        <is>
          <t>Small Molecule</t>
        </is>
      </c>
      <c r="G143" s="101" t="inlineStr">
        <is>
          <t>AGMB-129</t>
        </is>
      </c>
      <c r="H143" s="168" t="inlineStr">
        <is>
          <t>Phase 2</t>
        </is>
      </c>
      <c r="I143" s="102" t="inlineStr">
        <is>
          <t>Sep 2026</t>
        </is>
      </c>
      <c r="J143" s="101" t="inlineStr">
        <is>
          <t>Phase 2 Data Readout</t>
        </is>
      </c>
      <c r="K143" s="101" t="inlineStr"/>
      <c r="L143" s="104" t="n">
        <v>681.7</v>
      </c>
      <c r="M143" s="104" t="n">
        <v>171.5</v>
      </c>
      <c r="N143" s="123" t="n">
        <v>12.4</v>
      </c>
      <c r="O143" s="106">
        <f>IFERROR(ROUND(M143/N143,1),"")</f>
        <v/>
      </c>
      <c r="P143" s="107">
        <f>IFERROR(IF(O143="CF+","✅ CF+",IF(O143&lt;4,"🔴 &lt;4Q",IF(O143&lt;8,"🟡 4-8Q","🟢 &gt;8Q"))),"—")</f>
        <v/>
      </c>
      <c r="Q143" s="108">
        <f>IFERROR(L143-M143,"")</f>
        <v/>
      </c>
      <c r="R143" s="109" t="n">
        <v>17.45</v>
      </c>
      <c r="S143" s="109" t="n">
        <v>12.66</v>
      </c>
      <c r="T143" s="110" t="inlineStr">
        <is>
          <t>AgomAb Therapeutics NV, a clinical-stage biopharmaceutical company, develops novel disease-modifying therapies for immunology and inflammatory diseases with a focus on chronic fibrotic indications wit</t>
        </is>
      </c>
    </row>
    <row r="144" ht="30" customHeight="1" s="89">
      <c r="A144" s="111" t="inlineStr">
        <is>
          <t>EIKN</t>
        </is>
      </c>
      <c r="B144" s="112" t="inlineStr">
        <is>
          <t>Eikon Therapeutics, Inc.</t>
        </is>
      </c>
      <c r="C144" s="113" t="inlineStr">
        <is>
          <t>NASDAQ</t>
        </is>
      </c>
      <c r="D144" s="174" t="inlineStr">
        <is>
          <t>Oncology</t>
        </is>
      </c>
      <c r="E144" s="112" t="inlineStr">
        <is>
          <t>Advanced Solid Tumors</t>
        </is>
      </c>
      <c r="F144" s="171" t="inlineStr">
        <is>
          <t>Small Molecule</t>
        </is>
      </c>
      <c r="G144" s="112" t="inlineStr">
        <is>
          <t>EIK1004-001 (IMP1707-001)</t>
        </is>
      </c>
      <c r="H144" s="176" t="inlineStr">
        <is>
          <t>Phase 1/2</t>
        </is>
      </c>
      <c r="I144" s="113" t="inlineStr">
        <is>
          <t>Dec 2028</t>
        </is>
      </c>
      <c r="J144" s="112" t="inlineStr">
        <is>
          <t>Phase 1/2 Data Readout</t>
        </is>
      </c>
      <c r="K144" s="112" t="inlineStr">
        <is>
          <t>Impact Therapeutics, Inc.</t>
        </is>
      </c>
      <c r="L144" s="115" t="n">
        <v>618.7</v>
      </c>
      <c r="M144" s="115" t="n">
        <v>220.1</v>
      </c>
      <c r="N144" s="122" t="n">
        <v>23.7</v>
      </c>
      <c r="O144" s="117">
        <f>IFERROR(ROUND(M144/N144,1),"")</f>
        <v/>
      </c>
      <c r="P144" s="118">
        <f>IFERROR(IF(O144="CF+","✅ CF+",IF(O144&lt;4,"🔴 &lt;4Q",IF(O144&lt;8,"🟡 4-8Q","🟢 &gt;8Q"))),"—")</f>
        <v/>
      </c>
      <c r="Q144" s="119">
        <f>IFERROR(L144-M144,"")</f>
        <v/>
      </c>
      <c r="R144" s="120" t="n">
        <v>17.4</v>
      </c>
      <c r="S144" s="120" t="n">
        <v>10.82</v>
      </c>
      <c r="T144" s="121" t="inlineStr">
        <is>
          <t>Eikon Therapeutics, Inc., operates as a clinical biopharmaceutical company in the United States. It develops medicines to address serious unmet medical needs using a platform that permits precise char</t>
        </is>
      </c>
    </row>
    <row r="145" ht="30" customHeight="1" s="89">
      <c r="A145" s="100" t="inlineStr">
        <is>
          <t>ALRS</t>
        </is>
      </c>
      <c r="B145" s="101" t="inlineStr">
        <is>
          <t>Alerus Financial Corporation</t>
        </is>
      </c>
      <c r="C145" s="102" t="inlineStr">
        <is>
          <t>NASDAQ</t>
        </is>
      </c>
      <c r="D145" s="103" t="inlineStr"/>
      <c r="E145" s="101" t="inlineStr"/>
      <c r="F145" s="103" t="inlineStr"/>
      <c r="G145" s="101" t="inlineStr"/>
      <c r="H145" s="103" t="inlineStr"/>
      <c r="I145" s="102" t="inlineStr"/>
      <c r="J145" s="101" t="inlineStr"/>
      <c r="K145" s="101" t="inlineStr"/>
      <c r="L145" s="104" t="n">
        <v>598.5</v>
      </c>
      <c r="M145" s="104" t="n">
        <v>53.7</v>
      </c>
      <c r="N145" s="105" t="n"/>
      <c r="O145" s="106" t="inlineStr">
        <is>
          <t>CF+</t>
        </is>
      </c>
      <c r="P145" s="107" t="inlineStr">
        <is>
          <t>✅ CF+</t>
        </is>
      </c>
      <c r="Q145" s="108">
        <f>IFERROR(L145-M145,"")</f>
        <v/>
      </c>
      <c r="R145" s="109" t="n">
        <v>26.32</v>
      </c>
      <c r="S145" s="109" t="n">
        <v>15.78</v>
      </c>
      <c r="T145" s="110" t="inlineStr">
        <is>
          <t xml:space="preserve">Alerus Financial Corporation operates as the bank holding company for Alerus Financial, National Association that provides various financial services to businesses and consumers in the United States. </t>
        </is>
      </c>
    </row>
    <row r="146" ht="30" customHeight="1" s="89">
      <c r="A146" s="111" t="inlineStr">
        <is>
          <t>ESPR</t>
        </is>
      </c>
      <c r="B146" s="112" t="inlineStr">
        <is>
          <t>Esperion Therapeutics, Inc.</t>
        </is>
      </c>
      <c r="C146" s="113" t="inlineStr">
        <is>
          <t>NGM</t>
        </is>
      </c>
      <c r="D146" s="168" t="inlineStr">
        <is>
          <t>Cardiometabolic</t>
        </is>
      </c>
      <c r="E146" s="112" t="inlineStr">
        <is>
          <t>Hypercholesterolemia</t>
        </is>
      </c>
      <c r="F146" s="171" t="inlineStr">
        <is>
          <t>Small Molecule</t>
        </is>
      </c>
      <c r="G146" s="112" t="inlineStr">
        <is>
          <t>bempedoic acid</t>
        </is>
      </c>
      <c r="H146" s="172" t="inlineStr">
        <is>
          <t>Phase 3</t>
        </is>
      </c>
      <c r="I146" s="113" t="inlineStr">
        <is>
          <t>Nov 2019</t>
        </is>
      </c>
      <c r="J146" s="112" t="inlineStr">
        <is>
          <t>Phase 3 Data Readout</t>
        </is>
      </c>
      <c r="K146" s="112" t="inlineStr"/>
      <c r="L146" s="115" t="n">
        <v>583.3</v>
      </c>
      <c r="M146" s="115" t="n">
        <v>167.9</v>
      </c>
      <c r="N146" s="122" t="n">
        <v>17.9</v>
      </c>
      <c r="O146" s="117">
        <f>IFERROR(ROUND(M146/N146,1),"")</f>
        <v/>
      </c>
      <c r="P146" s="118">
        <f>IFERROR(IF(O146="CF+","✅ CF+",IF(O146&lt;4,"🔴 &lt;4Q",IF(O146&lt;8,"🟡 4-8Q","🟢 &gt;8Q"))),"—")</f>
        <v/>
      </c>
      <c r="Q146" s="119">
        <f>IFERROR(L146-M146,"")</f>
        <v/>
      </c>
      <c r="R146" s="120" t="n">
        <v>4.18</v>
      </c>
      <c r="S146" s="120" t="n">
        <v>0.6899999999999999</v>
      </c>
      <c r="T146" s="121" t="inlineStr">
        <is>
          <t>Esperion Therapeutics, Inc., a biopharmaceutical company, develops and commercializes medicines for the treatment of patients with elevated low density lipoprotein cholesterol (LDL-C) in the United St</t>
        </is>
      </c>
    </row>
    <row r="147" ht="30" customHeight="1" s="89">
      <c r="A147" s="100" t="inlineStr">
        <is>
          <t>DSGN</t>
        </is>
      </c>
      <c r="B147" s="101" t="inlineStr">
        <is>
          <t>Design Therapeutics, Inc.</t>
        </is>
      </c>
      <c r="C147" s="102" t="inlineStr">
        <is>
          <t>NASDAQ</t>
        </is>
      </c>
      <c r="D147" s="179" t="inlineStr">
        <is>
          <t>Ophthalmology</t>
        </is>
      </c>
      <c r="E147" s="101" t="inlineStr">
        <is>
          <t>Fuchs Endothelial Corneal Dystrophy</t>
        </is>
      </c>
      <c r="F147" s="171" t="inlineStr">
        <is>
          <t>Small Molecule</t>
        </is>
      </c>
      <c r="G147" s="101" t="inlineStr">
        <is>
          <t>DT-168</t>
        </is>
      </c>
      <c r="H147" s="168" t="inlineStr">
        <is>
          <t>Phase 2</t>
        </is>
      </c>
      <c r="I147" s="102" t="inlineStr">
        <is>
          <t>Sep 2026</t>
        </is>
      </c>
      <c r="J147" s="101" t="inlineStr">
        <is>
          <t>Phase 2 Data Readout</t>
        </is>
      </c>
      <c r="K147" s="101" t="inlineStr"/>
      <c r="L147" s="104" t="n">
        <v>576.5</v>
      </c>
      <c r="M147" s="104" t="n">
        <v>219.8</v>
      </c>
      <c r="N147" s="123" t="n">
        <v>12.8</v>
      </c>
      <c r="O147" s="106">
        <f>IFERROR(ROUND(M147/N147,1),"")</f>
        <v/>
      </c>
      <c r="P147" s="107">
        <f>IFERROR(IF(O147="CF+","✅ CF+",IF(O147&lt;4,"🔴 &lt;4Q",IF(O147&lt;8,"🟡 4-8Q","🟢 &gt;8Q"))),"—")</f>
        <v/>
      </c>
      <c r="Q147" s="108">
        <f>IFERROR(L147-M147,"")</f>
        <v/>
      </c>
      <c r="R147" s="109" t="n">
        <v>11.14</v>
      </c>
      <c r="S147" s="109" t="n">
        <v>2.6</v>
      </c>
      <c r="T147" s="110" t="inlineStr">
        <is>
          <t>Design Therapeutics, Inc. a clinical-stage biopharmaceutical company, research, designs, develops, and commercializes small molecule therapeutic drugs for the treatment of genetic diseases in the Unit</t>
        </is>
      </c>
    </row>
    <row r="148" ht="30" customHeight="1" s="89">
      <c r="A148" s="111" t="inlineStr">
        <is>
          <t>SLDB</t>
        </is>
      </c>
      <c r="B148" s="112" t="inlineStr">
        <is>
          <t>Solid Biosciences Inc.</t>
        </is>
      </c>
      <c r="C148" s="113" t="inlineStr">
        <is>
          <t>NASDAQ</t>
        </is>
      </c>
      <c r="D148" s="172" t="inlineStr">
        <is>
          <t>Rare Disease</t>
        </is>
      </c>
      <c r="E148" s="112" t="inlineStr">
        <is>
          <t>Duchenne Muscular Dystrophy</t>
        </is>
      </c>
      <c r="F148" s="171" t="inlineStr">
        <is>
          <t>Small Molecule</t>
        </is>
      </c>
      <c r="G148" s="112" t="inlineStr">
        <is>
          <t>SGT-003</t>
        </is>
      </c>
      <c r="H148" s="172" t="inlineStr">
        <is>
          <t>Phase 3</t>
        </is>
      </c>
      <c r="I148" s="113" t="inlineStr">
        <is>
          <t>Jan 2029</t>
        </is>
      </c>
      <c r="J148" s="112" t="inlineStr">
        <is>
          <t>Phase 3 Readout</t>
        </is>
      </c>
      <c r="K148" s="112" t="inlineStr"/>
      <c r="L148" s="115" t="n">
        <v>569.5</v>
      </c>
      <c r="M148" s="115" t="n">
        <v>236.1</v>
      </c>
      <c r="N148" s="122" t="n">
        <v>35.4</v>
      </c>
      <c r="O148" s="117">
        <f>IFERROR(ROUND(M148/N148,1),"")</f>
        <v/>
      </c>
      <c r="P148" s="118">
        <f>IFERROR(IF(O148="CF+","✅ CF+",IF(O148&lt;4,"🔴 &lt;4Q",IF(O148&lt;8,"🟡 4-8Q","🟢 &gt;8Q"))),"—")</f>
        <v/>
      </c>
      <c r="Q148" s="119">
        <f>IFERROR(L148-M148,"")</f>
        <v/>
      </c>
      <c r="R148" s="120" t="n">
        <v>8.720000000000001</v>
      </c>
      <c r="S148" s="120" t="n">
        <v>2.41</v>
      </c>
      <c r="T148" s="121" t="inlineStr">
        <is>
          <t>Solid Biosciences Inc. develops therapies for neuromuscular and cardiac diseases in the United States. The company's lead product candidate is SGT-003, which is in phase 1/2 for the treatment of Duche</t>
        </is>
      </c>
    </row>
    <row r="149" ht="30" customHeight="1" s="89">
      <c r="A149" s="100" t="inlineStr">
        <is>
          <t>CCXI</t>
        </is>
      </c>
      <c r="B149" s="101" t="inlineStr">
        <is>
          <t>Churchill Capital Corp XI</t>
        </is>
      </c>
      <c r="C149" s="102" t="inlineStr">
        <is>
          <t>NGM</t>
        </is>
      </c>
      <c r="D149" s="103" t="inlineStr"/>
      <c r="E149" s="101" t="inlineStr"/>
      <c r="F149" s="103" t="inlineStr"/>
      <c r="G149" s="101" t="inlineStr"/>
      <c r="H149" s="103" t="inlineStr"/>
      <c r="I149" s="102" t="inlineStr"/>
      <c r="J149" s="101" t="inlineStr"/>
      <c r="K149" s="101" t="inlineStr"/>
      <c r="L149" s="104" t="n">
        <v>565.1</v>
      </c>
      <c r="M149" s="104" t="n"/>
      <c r="N149" s="105" t="n"/>
      <c r="O149" s="106" t="inlineStr"/>
      <c r="P149" s="107" t="inlineStr"/>
      <c r="Q149" s="108">
        <f>IFERROR(L149-M149,"")</f>
        <v/>
      </c>
      <c r="R149" s="109" t="n">
        <v>10.45</v>
      </c>
      <c r="S149" s="109" t="n">
        <v>10.07</v>
      </c>
      <c r="T149" s="110" t="inlineStr"/>
    </row>
    <row r="150" ht="30" customHeight="1" s="89">
      <c r="A150" s="111" t="inlineStr">
        <is>
          <t>VOR</t>
        </is>
      </c>
      <c r="B150" s="112" t="inlineStr">
        <is>
          <t>Vor Biopharma Inc.</t>
        </is>
      </c>
      <c r="C150" s="113" t="inlineStr">
        <is>
          <t>NASDAQ</t>
        </is>
      </c>
      <c r="D150" s="114" t="inlineStr"/>
      <c r="E150" s="112" t="inlineStr"/>
      <c r="F150" s="114" t="inlineStr"/>
      <c r="G150" s="112" t="inlineStr"/>
      <c r="H150" s="114" t="inlineStr"/>
      <c r="I150" s="113" t="inlineStr"/>
      <c r="J150" s="112" t="inlineStr"/>
      <c r="K150" s="112" t="inlineStr"/>
      <c r="L150" s="115" t="n">
        <v>560.9</v>
      </c>
      <c r="M150" s="115" t="n">
        <v>170.5</v>
      </c>
      <c r="N150" s="122" t="n">
        <v>44.4</v>
      </c>
      <c r="O150" s="117">
        <f>IFERROR(ROUND(M150/N150,1),"")</f>
        <v/>
      </c>
      <c r="P150" s="118">
        <f>IFERROR(IF(O150="CF+","✅ CF+",IF(O150&lt;4,"🔴 &lt;4Q",IF(O150&lt;8,"🟡 4-8Q","🟢 &gt;8Q"))),"—")</f>
        <v/>
      </c>
      <c r="Q150" s="119">
        <f>IFERROR(L150-M150,"")</f>
        <v/>
      </c>
      <c r="R150" s="120" t="n">
        <v>65.8</v>
      </c>
      <c r="S150" s="120" t="n">
        <v>2.62</v>
      </c>
      <c r="T150" s="121" t="inlineStr">
        <is>
          <t>Vor Biopharma Inc. operates as a clinical-stage cell and genome engineering company. The company offers the Vor Bio platform, a technology platform for the treatment of acute myeloid leukemia (AML) an</t>
        </is>
      </c>
    </row>
    <row r="151" ht="30" customHeight="1" s="89">
      <c r="A151" s="100" t="inlineStr">
        <is>
          <t>IRWD</t>
        </is>
      </c>
      <c r="B151" s="101" t="inlineStr">
        <is>
          <t>Ironwood Pharmaceuticals, Inc.</t>
        </is>
      </c>
      <c r="C151" s="102" t="inlineStr">
        <is>
          <t>NASDAQ</t>
        </is>
      </c>
      <c r="D151" s="174" t="inlineStr">
        <is>
          <t>Oncology</t>
        </is>
      </c>
      <c r="E151" s="101" t="inlineStr">
        <is>
          <t>Irritable Bowel Syndrome With Constipation</t>
        </is>
      </c>
      <c r="F151" s="171" t="inlineStr">
        <is>
          <t>Small Molecule</t>
        </is>
      </c>
      <c r="G151" s="101" t="inlineStr">
        <is>
          <t>Linaclotide</t>
        </is>
      </c>
      <c r="H151" s="172" t="inlineStr">
        <is>
          <t>Phase 3</t>
        </is>
      </c>
      <c r="I151" s="102" t="inlineStr">
        <is>
          <t>Mar 2012</t>
        </is>
      </c>
      <c r="J151" s="101" t="inlineStr">
        <is>
          <t>Phase 3 Data Readout</t>
        </is>
      </c>
      <c r="K151" s="101" t="inlineStr">
        <is>
          <t>Forest Laboratories</t>
        </is>
      </c>
      <c r="L151" s="104" t="n">
        <v>549.5</v>
      </c>
      <c r="M151" s="104" t="n">
        <v>215.5</v>
      </c>
      <c r="N151" s="105" t="n"/>
      <c r="O151" s="106" t="inlineStr">
        <is>
          <t>CF+</t>
        </is>
      </c>
      <c r="P151" s="107" t="inlineStr">
        <is>
          <t>✅ CF+</t>
        </is>
      </c>
      <c r="Q151" s="108">
        <f>IFERROR(L151-M151,"")</f>
        <v/>
      </c>
      <c r="R151" s="109" t="n">
        <v>5.78</v>
      </c>
      <c r="S151" s="109" t="n">
        <v>0.53</v>
      </c>
      <c r="T151" s="110" t="inlineStr">
        <is>
          <t>Ironwood Pharmaceuticals, Inc., a biotechnology company, focuses on the development and commercialization of therapies for gastrointestinal (GI) and rare diseases in the United States and internationa</t>
        </is>
      </c>
    </row>
    <row r="152" ht="30" customHeight="1" s="89">
      <c r="A152" s="111" t="inlineStr">
        <is>
          <t>ALLO</t>
        </is>
      </c>
      <c r="B152" s="112" t="inlineStr">
        <is>
          <t>Allogene Therapeutics, Inc.</t>
        </is>
      </c>
      <c r="C152" s="113" t="inlineStr">
        <is>
          <t>NASDAQ</t>
        </is>
      </c>
      <c r="D152" s="174" t="inlineStr">
        <is>
          <t>Oncology</t>
        </is>
      </c>
      <c r="E152" s="112" t="inlineStr">
        <is>
          <t>Large B-cell Lymphoma</t>
        </is>
      </c>
      <c r="F152" s="182" t="inlineStr">
        <is>
          <t>Gene Therapy</t>
        </is>
      </c>
      <c r="G152" s="112" t="inlineStr">
        <is>
          <t>cemacabtagene ansegedleucel</t>
        </is>
      </c>
      <c r="H152" s="168" t="inlineStr">
        <is>
          <t>Phase 2</t>
        </is>
      </c>
      <c r="I152" s="113" t="inlineStr">
        <is>
          <t>Aug 2027</t>
        </is>
      </c>
      <c r="J152" s="112" t="inlineStr">
        <is>
          <t>Phase 2 Data Readout</t>
        </is>
      </c>
      <c r="K152" s="112" t="inlineStr">
        <is>
          <t>Foresight Diagnostics, Inc.</t>
        </is>
      </c>
      <c r="L152" s="115" t="n">
        <v>539.4</v>
      </c>
      <c r="M152" s="115" t="n">
        <v>250.2</v>
      </c>
      <c r="N152" s="122" t="n">
        <v>34.4</v>
      </c>
      <c r="O152" s="117">
        <f>IFERROR(ROUND(M152/N152,1),"")</f>
        <v/>
      </c>
      <c r="P152" s="118">
        <f>IFERROR(IF(O152="CF+","✅ CF+",IF(O152&lt;4,"🔴 &lt;4Q",IF(O152&lt;8,"🟡 4-8Q","🟢 &gt;8Q"))),"—")</f>
        <v/>
      </c>
      <c r="Q152" s="119">
        <f>IFERROR(L152-M152,"")</f>
        <v/>
      </c>
      <c r="R152" s="120" t="n">
        <v>2.8</v>
      </c>
      <c r="S152" s="120" t="n">
        <v>0.86</v>
      </c>
      <c r="T152" s="121" t="inlineStr">
        <is>
          <t>Allogene Therapeutics, Inc. a clinical stage immuno-oncology company, develops and commercializes genetically engineered allogeneic T cell therapies for the treatment of cancer and autoimmune diseases</t>
        </is>
      </c>
    </row>
    <row r="153" ht="30" customHeight="1" s="89">
      <c r="A153" s="100" t="inlineStr">
        <is>
          <t>RDVT</t>
        </is>
      </c>
      <c r="B153" s="101" t="inlineStr">
        <is>
          <t>Red Violet, Inc.</t>
        </is>
      </c>
      <c r="C153" s="102" t="inlineStr">
        <is>
          <t>NASDAQ</t>
        </is>
      </c>
      <c r="D153" s="103" t="inlineStr"/>
      <c r="E153" s="101" t="inlineStr"/>
      <c r="F153" s="103" t="inlineStr"/>
      <c r="G153" s="101" t="inlineStr"/>
      <c r="H153" s="103" t="inlineStr"/>
      <c r="I153" s="102" t="inlineStr"/>
      <c r="J153" s="101" t="inlineStr"/>
      <c r="K153" s="101" t="inlineStr"/>
      <c r="L153" s="104" t="n">
        <v>536.6</v>
      </c>
      <c r="M153" s="104" t="n">
        <v>43.6</v>
      </c>
      <c r="N153" s="105" t="n"/>
      <c r="O153" s="106" t="inlineStr">
        <is>
          <t>CF+</t>
        </is>
      </c>
      <c r="P153" s="107" t="inlineStr">
        <is>
          <t>✅ CF+</t>
        </is>
      </c>
      <c r="Q153" s="108">
        <f>IFERROR(L153-M153,"")</f>
        <v/>
      </c>
      <c r="R153" s="109" t="n">
        <v>64.14</v>
      </c>
      <c r="S153" s="109" t="n">
        <v>32.23</v>
      </c>
      <c r="T153" s="110" t="inlineStr">
        <is>
          <t>Red Violet, Inc., an analytics and information solutions company, specializes in proprietary technologies and applying analytical capabilities to deliver identity intelligence in the United States. It</t>
        </is>
      </c>
    </row>
    <row r="154" ht="30" customHeight="1" s="89">
      <c r="A154" s="111" t="inlineStr">
        <is>
          <t>KYTX</t>
        </is>
      </c>
      <c r="B154" s="112" t="inlineStr">
        <is>
          <t>Kyverna Therapeutics, Inc.</t>
        </is>
      </c>
      <c r="C154" s="113" t="inlineStr">
        <is>
          <t>NASDAQ</t>
        </is>
      </c>
      <c r="D154" s="114" t="inlineStr"/>
      <c r="E154" s="112" t="inlineStr"/>
      <c r="F154" s="114" t="inlineStr"/>
      <c r="G154" s="112" t="inlineStr"/>
      <c r="H154" s="114" t="inlineStr"/>
      <c r="I154" s="113" t="inlineStr"/>
      <c r="J154" s="112" t="inlineStr"/>
      <c r="K154" s="112" t="inlineStr"/>
      <c r="L154" s="115" t="n">
        <v>533.5</v>
      </c>
      <c r="M154" s="115" t="n">
        <v>171.1</v>
      </c>
      <c r="N154" s="122" t="n">
        <v>37.6</v>
      </c>
      <c r="O154" s="117">
        <f>IFERROR(ROUND(M154/N154,1),"")</f>
        <v/>
      </c>
      <c r="P154" s="118">
        <f>IFERROR(IF(O154="CF+","✅ CF+",IF(O154&lt;4,"🔴 &lt;4Q",IF(O154&lt;8,"🟡 4-8Q","🟢 &gt;8Q"))),"—")</f>
        <v/>
      </c>
      <c r="Q154" s="119">
        <f>IFERROR(L154-M154,"")</f>
        <v/>
      </c>
      <c r="R154" s="120" t="n">
        <v>13.67</v>
      </c>
      <c r="S154" s="120" t="n">
        <v>1.78</v>
      </c>
      <c r="T154" s="121" t="inlineStr">
        <is>
          <t>Kyverna Therapeutics, Inc., a clinical-stage biopharmaceutical company, focuses on developing cell therapies for patients with autoimmune diseases. Its lead product candidate is KYV-101, an autologous</t>
        </is>
      </c>
    </row>
    <row r="155" ht="30" customHeight="1" s="89">
      <c r="A155" s="100" t="inlineStr">
        <is>
          <t>VNDA</t>
        </is>
      </c>
      <c r="B155" s="101" t="inlineStr">
        <is>
          <t>Vanda Pharmaceuticals Inc.</t>
        </is>
      </c>
      <c r="C155" s="102" t="inlineStr">
        <is>
          <t>NGM</t>
        </is>
      </c>
      <c r="D155" s="103" t="inlineStr"/>
      <c r="E155" s="101" t="inlineStr"/>
      <c r="F155" s="103" t="inlineStr"/>
      <c r="G155" s="101" t="inlineStr"/>
      <c r="H155" s="103" t="inlineStr"/>
      <c r="I155" s="102" t="inlineStr"/>
      <c r="J155" s="101" t="inlineStr"/>
      <c r="K155" s="101" t="inlineStr"/>
      <c r="L155" s="104" t="n">
        <v>520.7</v>
      </c>
      <c r="M155" s="104" t="n">
        <v>263.8</v>
      </c>
      <c r="N155" s="123" t="n">
        <v>30.5</v>
      </c>
      <c r="O155" s="106">
        <f>IFERROR(ROUND(M155/N155,1),"")</f>
        <v/>
      </c>
      <c r="P155" s="107">
        <f>IFERROR(IF(O155="CF+","✅ CF+",IF(O155&lt;4,"🔴 &lt;4Q",IF(O155&lt;8,"🟡 4-8Q","🟢 &gt;8Q"))),"—")</f>
        <v/>
      </c>
      <c r="Q155" s="108">
        <f>IFERROR(L155-M155,"")</f>
        <v/>
      </c>
      <c r="R155" s="109" t="n">
        <v>9.94</v>
      </c>
      <c r="S155" s="109" t="n">
        <v>3.81</v>
      </c>
      <c r="T155" s="110" t="inlineStr">
        <is>
          <t>Vanda Pharmaceuticals Inc., a biopharmaceutical company, focuses on the development and commercialization of therapies to address high unmet medical needs worldwide. The company's commercial portfolio</t>
        </is>
      </c>
    </row>
    <row r="156" ht="30" customHeight="1" s="89">
      <c r="A156" s="111" t="inlineStr">
        <is>
          <t>EMBC</t>
        </is>
      </c>
      <c r="B156" s="112" t="inlineStr">
        <is>
          <t>Embecta Corp.</t>
        </is>
      </c>
      <c r="C156" s="113" t="inlineStr">
        <is>
          <t>NASDAQ</t>
        </is>
      </c>
      <c r="D156" s="114" t="inlineStr"/>
      <c r="E156" s="112" t="inlineStr"/>
      <c r="F156" s="114" t="inlineStr"/>
      <c r="G156" s="112" t="inlineStr"/>
      <c r="H156" s="114" t="inlineStr"/>
      <c r="I156" s="113" t="inlineStr"/>
      <c r="J156" s="112" t="inlineStr"/>
      <c r="K156" s="112" t="inlineStr"/>
      <c r="L156" s="115" t="n">
        <v>520.5</v>
      </c>
      <c r="M156" s="115" t="n">
        <v>201.3</v>
      </c>
      <c r="N156" s="116" t="n"/>
      <c r="O156" s="117" t="inlineStr">
        <is>
          <t>CF+</t>
        </is>
      </c>
      <c r="P156" s="118" t="inlineStr">
        <is>
          <t>✅ CF+</t>
        </is>
      </c>
      <c r="Q156" s="119">
        <f>IFERROR(L156-M156,"")</f>
        <v/>
      </c>
      <c r="R156" s="120" t="n">
        <v>15.55</v>
      </c>
      <c r="S156" s="120" t="n">
        <v>8.77</v>
      </c>
      <c r="T156" s="121" t="inlineStr">
        <is>
          <t xml:space="preserve">Embecta Corp., a medical device company, provides solutions to improve the health and wellbeing of people living with diabetes in the United States and internationally. The company's products include </t>
        </is>
      </c>
    </row>
    <row r="157" ht="30" customHeight="1" s="89">
      <c r="A157" s="100" t="inlineStr">
        <is>
          <t>RCKT</t>
        </is>
      </c>
      <c r="B157" s="101" t="inlineStr">
        <is>
          <t>Rocket Pharmaceuticals, Inc.</t>
        </is>
      </c>
      <c r="C157" s="102" t="inlineStr">
        <is>
          <t>NGM</t>
        </is>
      </c>
      <c r="D157" s="168" t="inlineStr">
        <is>
          <t>Cardiometabolic</t>
        </is>
      </c>
      <c r="E157" s="101" t="inlineStr">
        <is>
          <t>Danon Disease</t>
        </is>
      </c>
      <c r="F157" s="182" t="inlineStr">
        <is>
          <t>Gene Therapy</t>
        </is>
      </c>
      <c r="G157" s="101" t="inlineStr">
        <is>
          <t>RP-A501</t>
        </is>
      </c>
      <c r="H157" s="168" t="inlineStr">
        <is>
          <t>Phase 2</t>
        </is>
      </c>
      <c r="I157" s="102" t="inlineStr">
        <is>
          <t>Apr 2028</t>
        </is>
      </c>
      <c r="J157" s="101" t="inlineStr">
        <is>
          <t>Phase 2 Data Readout</t>
        </is>
      </c>
      <c r="K157" s="101" t="inlineStr"/>
      <c r="L157" s="104" t="n">
        <v>513.5</v>
      </c>
      <c r="M157" s="104" t="n">
        <v>188.9</v>
      </c>
      <c r="N157" s="123" t="n">
        <v>42.6</v>
      </c>
      <c r="O157" s="106">
        <f>IFERROR(ROUND(M157/N157,1),"")</f>
        <v/>
      </c>
      <c r="P157" s="107">
        <f>IFERROR(IF(O157="CF+","✅ CF+",IF(O157&lt;4,"🔴 &lt;4Q",IF(O157&lt;8,"🟡 4-8Q","🟢 &gt;8Q"))),"—")</f>
        <v/>
      </c>
      <c r="Q157" s="108">
        <f>IFERROR(L157-M157,"")</f>
        <v/>
      </c>
      <c r="R157" s="109" t="n">
        <v>8.890000000000001</v>
      </c>
      <c r="S157" s="109" t="n">
        <v>2.19</v>
      </c>
      <c r="T157" s="110" t="inlineStr">
        <is>
          <t>Rocket Pharmaceuticals, Inc., together with its subsidiaries, operates as a late-stage biotechnology company that focuses on developing, manufacturing, and selling of genetic therapies for rare and de</t>
        </is>
      </c>
    </row>
    <row r="158" ht="30" customHeight="1" s="89">
      <c r="A158" s="111" t="inlineStr">
        <is>
          <t>NMRA</t>
        </is>
      </c>
      <c r="B158" s="112" t="inlineStr">
        <is>
          <t>Neumora Therapeutics, Inc.</t>
        </is>
      </c>
      <c r="C158" s="113" t="inlineStr">
        <is>
          <t>NASDAQ</t>
        </is>
      </c>
      <c r="D158" s="177" t="inlineStr">
        <is>
          <t>CNS</t>
        </is>
      </c>
      <c r="E158" s="112" t="inlineStr">
        <is>
          <t>Major Depressive Disorder</t>
        </is>
      </c>
      <c r="F158" s="171" t="inlineStr">
        <is>
          <t>Small Molecule</t>
        </is>
      </c>
      <c r="G158" s="112" t="inlineStr">
        <is>
          <t>NMRA-335140</t>
        </is>
      </c>
      <c r="H158" s="172" t="inlineStr">
        <is>
          <t>Phase 3</t>
        </is>
      </c>
      <c r="I158" s="113" t="inlineStr">
        <is>
          <t>Feb 2026</t>
        </is>
      </c>
      <c r="J158" s="112" t="inlineStr">
        <is>
          <t>Phase 3 Readout</t>
        </is>
      </c>
      <c r="K158" s="112" t="inlineStr"/>
      <c r="L158" s="115" t="n">
        <v>509.8</v>
      </c>
      <c r="M158" s="115" t="n">
        <v>171.5</v>
      </c>
      <c r="N158" s="122" t="n">
        <v>49.5</v>
      </c>
      <c r="O158" s="117">
        <f>IFERROR(ROUND(M158/N158,1),"")</f>
        <v/>
      </c>
      <c r="P158" s="118">
        <f>IFERROR(IF(O158="CF+","✅ CF+",IF(O158&lt;4,"🔴 &lt;4Q",IF(O158&lt;8,"🟡 4-8Q","🟢 &gt;8Q"))),"—")</f>
        <v/>
      </c>
      <c r="Q158" s="119">
        <f>IFERROR(L158-M158,"")</f>
        <v/>
      </c>
      <c r="R158" s="120" t="n">
        <v>3.65</v>
      </c>
      <c r="S158" s="120" t="n">
        <v>0.61</v>
      </c>
      <c r="T158" s="121" t="inlineStr">
        <is>
          <t>Neumora Therapeutics, Inc., a clinical-stage biopharmaceutical company, engages in developing therapeutic treatments for brain diseases, neuropsychiatric disorders, and neurodegenerative diseases in t</t>
        </is>
      </c>
    </row>
    <row r="159" ht="30" customHeight="1" s="89">
      <c r="A159" s="100" t="inlineStr">
        <is>
          <t>FULC</t>
        </is>
      </c>
      <c r="B159" s="101" t="inlineStr">
        <is>
          <t>Fulcrum Therapeutics, Inc.</t>
        </is>
      </c>
      <c r="C159" s="102" t="inlineStr">
        <is>
          <t>NGM</t>
        </is>
      </c>
      <c r="D159" s="103" t="inlineStr"/>
      <c r="E159" s="101" t="inlineStr"/>
      <c r="F159" s="103" t="inlineStr"/>
      <c r="G159" s="101" t="inlineStr"/>
      <c r="H159" s="103" t="inlineStr"/>
      <c r="I159" s="102" t="inlineStr"/>
      <c r="J159" s="101" t="inlineStr"/>
      <c r="K159" s="101" t="inlineStr"/>
      <c r="L159" s="104" t="n">
        <v>509.5</v>
      </c>
      <c r="M159" s="104" t="n">
        <v>352.3</v>
      </c>
      <c r="N159" s="123" t="n">
        <v>15.5</v>
      </c>
      <c r="O159" s="106">
        <f>IFERROR(ROUND(M159/N159,1),"")</f>
        <v/>
      </c>
      <c r="P159" s="107">
        <f>IFERROR(IF(O159="CF+","✅ CF+",IF(O159&lt;4,"🔴 &lt;4Q",IF(O159&lt;8,"🟡 4-8Q","🟢 &gt;8Q"))),"—")</f>
        <v/>
      </c>
      <c r="Q159" s="108">
        <f>IFERROR(L159-M159,"")</f>
        <v/>
      </c>
      <c r="R159" s="109" t="n">
        <v>15.74</v>
      </c>
      <c r="S159" s="109" t="n">
        <v>2.31</v>
      </c>
      <c r="T159" s="110" t="inlineStr">
        <is>
          <t>Fulcrum Therapeutics, Inc., a clinical-stage biopharmaceutical company, develops small molecules to improve the lives of patients with genetically defined diseases in the areas of high unmet medical n</t>
        </is>
      </c>
    </row>
    <row r="160" ht="30" customHeight="1" s="89">
      <c r="A160" s="111" t="inlineStr">
        <is>
          <t>AQST</t>
        </is>
      </c>
      <c r="B160" s="112" t="inlineStr">
        <is>
          <t>Aquestive Therapeutics, Inc.</t>
        </is>
      </c>
      <c r="C160" s="113" t="inlineStr">
        <is>
          <t>NGM</t>
        </is>
      </c>
      <c r="D160" s="114" t="inlineStr"/>
      <c r="E160" s="112" t="inlineStr"/>
      <c r="F160" s="114" t="inlineStr"/>
      <c r="G160" s="112" t="inlineStr"/>
      <c r="H160" s="114" t="inlineStr"/>
      <c r="I160" s="113" t="inlineStr"/>
      <c r="J160" s="112" t="inlineStr"/>
      <c r="K160" s="112" t="inlineStr"/>
      <c r="L160" s="115" t="n">
        <v>490.5</v>
      </c>
      <c r="M160" s="115" t="n">
        <v>121.2</v>
      </c>
      <c r="N160" s="122" t="n">
        <v>10.3</v>
      </c>
      <c r="O160" s="117">
        <f>IFERROR(ROUND(M160/N160,1),"")</f>
        <v/>
      </c>
      <c r="P160" s="118">
        <f>IFERROR(IF(O160="CF+","✅ CF+",IF(O160&lt;4,"🔴 &lt;4Q",IF(O160&lt;8,"🟡 4-8Q","🟢 &gt;8Q"))),"—")</f>
        <v/>
      </c>
      <c r="Q160" s="119">
        <f>IFERROR(L160-M160,"")</f>
        <v/>
      </c>
      <c r="R160" s="120" t="n">
        <v>7.55</v>
      </c>
      <c r="S160" s="120" t="n">
        <v>2.12</v>
      </c>
      <c r="T160" s="121" t="inlineStr">
        <is>
          <t>Aquestive Therapeutics, Inc. operates as a pharmaceutical company in the United States and internationally. It offers Libervant, a buccal soluble film formulation of diazepam for the treatment of seiz</t>
        </is>
      </c>
    </row>
    <row r="161" ht="30" customHeight="1" s="89">
      <c r="A161" s="100" t="inlineStr">
        <is>
          <t>LXEO</t>
        </is>
      </c>
      <c r="B161" s="101" t="inlineStr">
        <is>
          <t>Lexeo Therapeutics, Inc.</t>
        </is>
      </c>
      <c r="C161" s="102" t="inlineStr">
        <is>
          <t>NGM</t>
        </is>
      </c>
      <c r="D161" s="103" t="inlineStr"/>
      <c r="E161" s="101" t="inlineStr"/>
      <c r="F161" s="103" t="inlineStr"/>
      <c r="G161" s="101" t="inlineStr"/>
      <c r="H161" s="103" t="inlineStr"/>
      <c r="I161" s="102" t="inlineStr"/>
      <c r="J161" s="101" t="inlineStr"/>
      <c r="K161" s="101" t="inlineStr"/>
      <c r="L161" s="104" t="n">
        <v>486.1</v>
      </c>
      <c r="M161" s="104" t="n">
        <v>122.8</v>
      </c>
      <c r="N161" s="123" t="n">
        <v>28.4</v>
      </c>
      <c r="O161" s="106">
        <f>IFERROR(ROUND(M161/N161,1),"")</f>
        <v/>
      </c>
      <c r="P161" s="107">
        <f>IFERROR(IF(O161="CF+","✅ CF+",IF(O161&lt;4,"🔴 &lt;4Q",IF(O161&lt;8,"🟡 4-8Q","🟢 &gt;8Q"))),"—")</f>
        <v/>
      </c>
      <c r="Q161" s="108">
        <f>IFERROR(L161-M161,"")</f>
        <v/>
      </c>
      <c r="R161" s="109" t="n">
        <v>10.99</v>
      </c>
      <c r="S161" s="109" t="n">
        <v>1.45</v>
      </c>
      <c r="T161" s="110" t="inlineStr">
        <is>
          <t>Lexeo Therapeutics, Inc., a clinical stage genetic medicine company, focuses on hereditary and acquired diseases with high unmet need in the United States. Its product pipeline comprises LX2006, an AA</t>
        </is>
      </c>
    </row>
    <row r="162" ht="30" customHeight="1" s="89">
      <c r="A162" s="111" t="inlineStr">
        <is>
          <t>TRDA</t>
        </is>
      </c>
      <c r="B162" s="112" t="inlineStr">
        <is>
          <t>Entrada Therapeutics, Inc.</t>
        </is>
      </c>
      <c r="C162" s="113" t="inlineStr">
        <is>
          <t>NGM</t>
        </is>
      </c>
      <c r="D162" s="172" t="inlineStr">
        <is>
          <t>Rare Disease</t>
        </is>
      </c>
      <c r="E162" s="112" t="inlineStr">
        <is>
          <t>Duchenne Muscular Dystrophy (DMD)</t>
        </is>
      </c>
      <c r="F162" s="171" t="inlineStr">
        <is>
          <t>Small Molecule</t>
        </is>
      </c>
      <c r="G162" s="112" t="inlineStr">
        <is>
          <t>ENTR-601-44</t>
        </is>
      </c>
      <c r="H162" s="176" t="inlineStr">
        <is>
          <t>Phase 1/2</t>
        </is>
      </c>
      <c r="I162" s="113" t="inlineStr">
        <is>
          <t>Mar 2029</t>
        </is>
      </c>
      <c r="J162" s="112" t="inlineStr">
        <is>
          <t>Phase 1/2 Data Readout</t>
        </is>
      </c>
      <c r="K162" s="112" t="inlineStr"/>
      <c r="L162" s="115" t="n">
        <v>485.8</v>
      </c>
      <c r="M162" s="115" t="n">
        <v>295.7</v>
      </c>
      <c r="N162" s="122" t="n">
        <v>30.3</v>
      </c>
      <c r="O162" s="117">
        <f>IFERROR(ROUND(M162/N162,1),"")</f>
        <v/>
      </c>
      <c r="P162" s="118">
        <f>IFERROR(IF(O162="CF+","✅ CF+",IF(O162&lt;4,"🔴 &lt;4Q",IF(O162&lt;8,"🟡 4-8Q","🟢 &gt;8Q"))),"—")</f>
        <v/>
      </c>
      <c r="Q162" s="119">
        <f>IFERROR(L162-M162,"")</f>
        <v/>
      </c>
      <c r="R162" s="120" t="n">
        <v>13.65</v>
      </c>
      <c r="S162" s="120" t="n">
        <v>4.93</v>
      </c>
      <c r="T162" s="121" t="inlineStr">
        <is>
          <t>Entrada Therapeutics, Inc., is a clinical-stage biopharmaceutical company aiming to transform the lives of patients by establishing a new class of medicines that engage intracellular targets that have</t>
        </is>
      </c>
    </row>
    <row r="163" ht="30" customHeight="1" s="89">
      <c r="A163" s="100" t="inlineStr">
        <is>
          <t>ENGN</t>
        </is>
      </c>
      <c r="B163" s="101" t="inlineStr">
        <is>
          <t>enGene Holdings Inc.</t>
        </is>
      </c>
      <c r="C163" s="102" t="inlineStr">
        <is>
          <t>NASDAQ (ADR)</t>
        </is>
      </c>
      <c r="D163" s="103" t="inlineStr"/>
      <c r="E163" s="101" t="inlineStr"/>
      <c r="F163" s="103" t="inlineStr"/>
      <c r="G163" s="101" t="inlineStr"/>
      <c r="H163" s="103" t="inlineStr"/>
      <c r="I163" s="102" t="inlineStr"/>
      <c r="J163" s="101" t="inlineStr"/>
      <c r="K163" s="101" t="inlineStr"/>
      <c r="L163" s="104" t="n">
        <v>479.6</v>
      </c>
      <c r="M163" s="104" t="n">
        <v>275.9</v>
      </c>
      <c r="N163" s="123" t="n">
        <v>25.3</v>
      </c>
      <c r="O163" s="106">
        <f>IFERROR(ROUND(M163/N163,1),"")</f>
        <v/>
      </c>
      <c r="P163" s="107">
        <f>IFERROR(IF(O163="CF+","✅ CF+",IF(O163&lt;4,"🔴 &lt;4Q",IF(O163&lt;8,"🟡 4-8Q","🟢 &gt;8Q"))),"—")</f>
        <v/>
      </c>
      <c r="Q163" s="108">
        <f>IFERROR(L163-M163,"")</f>
        <v/>
      </c>
      <c r="R163" s="109" t="n">
        <v>12.25</v>
      </c>
      <c r="S163" s="109" t="n">
        <v>2.65</v>
      </c>
      <c r="T163" s="110" t="inlineStr">
        <is>
          <t xml:space="preserve">enGene Holdings Inc., through its subsidiary enGene, Inc., operates as a clinical-stage biotechnology company in Canada. The company develops genetic medicines to help patients suffering from bladder </t>
        </is>
      </c>
    </row>
    <row r="164" ht="30" customHeight="1" s="89">
      <c r="A164" s="111" t="inlineStr">
        <is>
          <t>RIGL</t>
        </is>
      </c>
      <c r="B164" s="112" t="inlineStr">
        <is>
          <t>Rigel Pharmaceuticals, Inc.</t>
        </is>
      </c>
      <c r="C164" s="113" t="inlineStr">
        <is>
          <t>NASDAQ</t>
        </is>
      </c>
      <c r="D164" s="169" t="inlineStr">
        <is>
          <t>Other</t>
        </is>
      </c>
      <c r="E164" s="112" t="inlineStr">
        <is>
          <t>Mutant IDH1 Inhibitor Olutasidenib</t>
        </is>
      </c>
      <c r="F164" s="171" t="inlineStr">
        <is>
          <t>Small Molecule</t>
        </is>
      </c>
      <c r="G164" s="112" t="inlineStr">
        <is>
          <t>Olutasidenib</t>
        </is>
      </c>
      <c r="H164" s="176" t="inlineStr">
        <is>
          <t>Phase 1/2</t>
        </is>
      </c>
      <c r="I164" s="113" t="inlineStr">
        <is>
          <t>Jun 2027</t>
        </is>
      </c>
      <c r="J164" s="112" t="inlineStr">
        <is>
          <t>Phase 1/2 Data Readout</t>
        </is>
      </c>
      <c r="K164" s="112" t="inlineStr">
        <is>
          <t>Rigel Pharmaceuticals,Inc.</t>
        </is>
      </c>
      <c r="L164" s="115" t="n">
        <v>479.4</v>
      </c>
      <c r="M164" s="115" t="n">
        <v>155</v>
      </c>
      <c r="N164" s="116" t="n"/>
      <c r="O164" s="117" t="inlineStr">
        <is>
          <t>CF+</t>
        </is>
      </c>
      <c r="P164" s="118" t="inlineStr">
        <is>
          <t>✅ CF+</t>
        </is>
      </c>
      <c r="Q164" s="119">
        <f>IFERROR(L164-M164,"")</f>
        <v/>
      </c>
      <c r="R164" s="120" t="n">
        <v>52.24</v>
      </c>
      <c r="S164" s="120" t="n">
        <v>15.5</v>
      </c>
      <c r="T164" s="121" t="inlineStr">
        <is>
          <t xml:space="preserve">Rigel Pharmaceuticals, Inc., a biotechnology company, develops and provides therapies that enhance the lives of patients with hematologic disorders and cancer in the United States. The company offers </t>
        </is>
      </c>
    </row>
    <row r="165" ht="30" customHeight="1" s="89">
      <c r="A165" s="100" t="inlineStr">
        <is>
          <t>AVIR</t>
        </is>
      </c>
      <c r="B165" s="101" t="inlineStr">
        <is>
          <t>Atea Pharmaceuticals, Inc.</t>
        </is>
      </c>
      <c r="C165" s="102" t="inlineStr">
        <is>
          <t>NASDAQ</t>
        </is>
      </c>
      <c r="D165" s="170" t="inlineStr">
        <is>
          <t>Infectious Disease</t>
        </is>
      </c>
      <c r="E165" s="101" t="inlineStr">
        <is>
          <t>HEPATITIS C VIRUS CHRONIC INFECTION</t>
        </is>
      </c>
      <c r="F165" s="171" t="inlineStr">
        <is>
          <t>Small Molecule</t>
        </is>
      </c>
      <c r="G165" s="101" t="inlineStr">
        <is>
          <t>Bemnifosbuvir-Ruzasvir</t>
        </is>
      </c>
      <c r="H165" s="172" t="inlineStr">
        <is>
          <t>Phase 3</t>
        </is>
      </c>
      <c r="I165" s="102" t="inlineStr">
        <is>
          <t>Dec 2026</t>
        </is>
      </c>
      <c r="J165" s="101" t="inlineStr">
        <is>
          <t>Phase 3 Readout</t>
        </is>
      </c>
      <c r="K165" s="101" t="inlineStr"/>
      <c r="L165" s="104" t="n">
        <v>476.6</v>
      </c>
      <c r="M165" s="104" t="n">
        <v>301.8</v>
      </c>
      <c r="N165" s="123" t="n">
        <v>36.6</v>
      </c>
      <c r="O165" s="106">
        <f>IFERROR(ROUND(M165/N165,1),"")</f>
        <v/>
      </c>
      <c r="P165" s="107">
        <f>IFERROR(IF(O165="CF+","✅ CF+",IF(O165&lt;4,"🔴 &lt;4Q",IF(O165&lt;8,"🟡 4-8Q","🟢 &gt;8Q"))),"—")</f>
        <v/>
      </c>
      <c r="Q165" s="108">
        <f>IFERROR(L165-M165,"")</f>
        <v/>
      </c>
      <c r="R165" s="109" t="n">
        <v>6.45</v>
      </c>
      <c r="S165" s="109" t="n">
        <v>2.46</v>
      </c>
      <c r="T165" s="110" t="inlineStr">
        <is>
          <t>Atea Pharmaceuticals, Inc., a clinical-stage biopharmaceutical company, discovers, develops, and commercializes oral antiviral therapeutics for patients with serious viral infections. Its lead product</t>
        </is>
      </c>
    </row>
    <row r="166" ht="30" customHeight="1" s="89">
      <c r="A166" s="111" t="inlineStr">
        <is>
          <t>LRMR</t>
        </is>
      </c>
      <c r="B166" s="112" t="inlineStr">
        <is>
          <t>Larimar Therapeutics, Inc.</t>
        </is>
      </c>
      <c r="C166" s="113" t="inlineStr">
        <is>
          <t>NGM</t>
        </is>
      </c>
      <c r="D166" s="172" t="inlineStr">
        <is>
          <t>Rare Disease</t>
        </is>
      </c>
      <c r="E166" s="112" t="inlineStr">
        <is>
          <t>Friedreich Ataxia</t>
        </is>
      </c>
      <c r="F166" s="173" t="inlineStr">
        <is>
          <t>Monoclonal Ab (mAb)</t>
        </is>
      </c>
      <c r="G166" s="112" t="inlineStr">
        <is>
          <t>CTI-1601</t>
        </is>
      </c>
      <c r="H166" s="168" t="inlineStr">
        <is>
          <t>Phase 2</t>
        </is>
      </c>
      <c r="I166" s="113" t="inlineStr">
        <is>
          <t>Jan 2027</t>
        </is>
      </c>
      <c r="J166" s="112" t="inlineStr">
        <is>
          <t>Phase 2 Data Readout</t>
        </is>
      </c>
      <c r="K166" s="112" t="inlineStr"/>
      <c r="L166" s="115" t="n">
        <v>476</v>
      </c>
      <c r="M166" s="115" t="n">
        <v>175.4</v>
      </c>
      <c r="N166" s="122" t="n">
        <v>24.1</v>
      </c>
      <c r="O166" s="117">
        <f>IFERROR(ROUND(M166/N166,1),"")</f>
        <v/>
      </c>
      <c r="P166" s="118">
        <f>IFERROR(IF(O166="CF+","✅ CF+",IF(O166&lt;4,"🔴 &lt;4Q",IF(O166&lt;8,"🟡 4-8Q","🟢 &gt;8Q"))),"—")</f>
        <v/>
      </c>
      <c r="Q166" s="119">
        <f>IFERROR(L166-M166,"")</f>
        <v/>
      </c>
      <c r="R166" s="120" t="n">
        <v>6.42</v>
      </c>
      <c r="S166" s="120" t="n">
        <v>1.61</v>
      </c>
      <c r="T166" s="121" t="inlineStr">
        <is>
          <t>Larimar Therapeutics, Inc., a clinical-stage biotechnology company, focuses on developing treatments for rare diseases using its novel cell penetrating peptide technology platform. Its lead product ca</t>
        </is>
      </c>
    </row>
    <row r="167" ht="30" customHeight="1" s="89">
      <c r="A167" s="100" t="inlineStr">
        <is>
          <t>FDMT</t>
        </is>
      </c>
      <c r="B167" s="101" t="inlineStr">
        <is>
          <t>4D Molecular Therapeutics, Inc.</t>
        </is>
      </c>
      <c r="C167" s="102" t="inlineStr">
        <is>
          <t>NASDAQ</t>
        </is>
      </c>
      <c r="D167" s="103" t="inlineStr"/>
      <c r="E167" s="101" t="inlineStr"/>
      <c r="F167" s="103" t="inlineStr"/>
      <c r="G167" s="101" t="inlineStr"/>
      <c r="H167" s="103" t="inlineStr"/>
      <c r="I167" s="102" t="inlineStr"/>
      <c r="J167" s="101" t="inlineStr"/>
      <c r="K167" s="101" t="inlineStr"/>
      <c r="L167" s="104" t="n">
        <v>475.9</v>
      </c>
      <c r="M167" s="104" t="n">
        <v>305.1</v>
      </c>
      <c r="N167" s="123" t="n">
        <v>44.9</v>
      </c>
      <c r="O167" s="106">
        <f>IFERROR(ROUND(M167/N167,1),"")</f>
        <v/>
      </c>
      <c r="P167" s="107">
        <f>IFERROR(IF(O167="CF+","✅ CF+",IF(O167&lt;4,"🔴 &lt;4Q",IF(O167&lt;8,"🟡 4-8Q","🟢 &gt;8Q"))),"—")</f>
        <v/>
      </c>
      <c r="Q167" s="108">
        <f>IFERROR(L167-M167,"")</f>
        <v/>
      </c>
      <c r="R167" s="109" t="n">
        <v>12.34</v>
      </c>
      <c r="S167" s="109" t="n">
        <v>2.23</v>
      </c>
      <c r="T167" s="110" t="inlineStr">
        <is>
          <t xml:space="preserve">4D Molecular Therapeutics, Inc., a late-stage biotechnology company, engages in the development of adeno-associated virus vectors from its proprietary synthetic vector discovery platform, Therapeutic </t>
        </is>
      </c>
    </row>
    <row r="168" ht="30" customHeight="1" s="89">
      <c r="A168" s="111" t="inlineStr">
        <is>
          <t>LYEL</t>
        </is>
      </c>
      <c r="B168" s="112" t="inlineStr">
        <is>
          <t>Lyell Immunopharma, Inc.</t>
        </is>
      </c>
      <c r="C168" s="113" t="inlineStr">
        <is>
          <t>NASDAQ</t>
        </is>
      </c>
      <c r="D168" s="174" t="inlineStr">
        <is>
          <t>Oncology</t>
        </is>
      </c>
      <c r="E168" s="112" t="inlineStr">
        <is>
          <t>Large B-cell Lymphoma</t>
        </is>
      </c>
      <c r="F168" s="173" t="inlineStr">
        <is>
          <t>Monoclonal Ab (mAb)</t>
        </is>
      </c>
      <c r="G168" s="112" t="inlineStr">
        <is>
          <t>rondecabtagene autoleucel</t>
        </is>
      </c>
      <c r="H168" s="172" t="inlineStr">
        <is>
          <t>Phase 3</t>
        </is>
      </c>
      <c r="I168" s="113" t="inlineStr">
        <is>
          <t>Dec 2029</t>
        </is>
      </c>
      <c r="J168" s="112" t="inlineStr">
        <is>
          <t>Phase 3 Readout</t>
        </is>
      </c>
      <c r="K168" s="112" t="inlineStr"/>
      <c r="L168" s="115" t="n">
        <v>451.4</v>
      </c>
      <c r="M168" s="115" t="n">
        <v>247.2</v>
      </c>
      <c r="N168" s="122" t="n">
        <v>31.5</v>
      </c>
      <c r="O168" s="117">
        <f>IFERROR(ROUND(M168/N168,1),"")</f>
        <v/>
      </c>
      <c r="P168" s="118">
        <f>IFERROR(IF(O168="CF+","✅ CF+",IF(O168&lt;4,"🔴 &lt;4Q",IF(O168&lt;8,"🟡 4-8Q","🟢 &gt;8Q"))),"—")</f>
        <v/>
      </c>
      <c r="Q168" s="119">
        <f>IFERROR(L168-M168,"")</f>
        <v/>
      </c>
      <c r="R168" s="120" t="n">
        <v>45</v>
      </c>
      <c r="S168" s="120" t="n">
        <v>7.65</v>
      </c>
      <c r="T168" s="121" t="inlineStr">
        <is>
          <t>Lyell Immunopharma, Inc., a clinical-stage cell therapy company, develops chimeric antigen receptor (CAR) T-cell product candidates for patients with hematologic malignancies and solid tumors. The com</t>
        </is>
      </c>
    </row>
    <row r="169" ht="30" customHeight="1" s="89">
      <c r="A169" s="100" t="inlineStr">
        <is>
          <t>RGNX</t>
        </is>
      </c>
      <c r="B169" s="101" t="inlineStr">
        <is>
          <t>REGENXBIO Inc.</t>
        </is>
      </c>
      <c r="C169" s="102" t="inlineStr">
        <is>
          <t>NASDAQ</t>
        </is>
      </c>
      <c r="D169" s="179" t="inlineStr">
        <is>
          <t>Ophthalmology</t>
        </is>
      </c>
      <c r="E169" s="101" t="inlineStr">
        <is>
          <t>AMD</t>
        </is>
      </c>
      <c r="F169" s="182" t="inlineStr">
        <is>
          <t>Gene Therapy</t>
        </is>
      </c>
      <c r="G169" s="101" t="inlineStr">
        <is>
          <t>ABBV-RGX-314 Dose 1</t>
        </is>
      </c>
      <c r="H169" s="172" t="inlineStr">
        <is>
          <t>Phase 3</t>
        </is>
      </c>
      <c r="I169" s="102" t="inlineStr">
        <is>
          <t>Oct 2026</t>
        </is>
      </c>
      <c r="J169" s="101" t="inlineStr">
        <is>
          <t>Phase 3 Readout</t>
        </is>
      </c>
      <c r="K169" s="101" t="inlineStr">
        <is>
          <t>REGENXBIO Inc.</t>
        </is>
      </c>
      <c r="L169" s="104" t="n">
        <v>442.3</v>
      </c>
      <c r="M169" s="104" t="n">
        <v>230.1</v>
      </c>
      <c r="N169" s="123" t="n">
        <v>54.1</v>
      </c>
      <c r="O169" s="106">
        <f>IFERROR(ROUND(M169/N169,1),"")</f>
        <v/>
      </c>
      <c r="P169" s="107">
        <f>IFERROR(IF(O169="CF+","✅ CF+",IF(O169&lt;4,"🔴 &lt;4Q",IF(O169&lt;8,"🟡 4-8Q","🟢 &gt;8Q"))),"—")</f>
        <v/>
      </c>
      <c r="Q169" s="108">
        <f>IFERROR(L169-M169,"")</f>
        <v/>
      </c>
      <c r="R169" s="109" t="n">
        <v>16.19</v>
      </c>
      <c r="S169" s="109" t="n">
        <v>5.04</v>
      </c>
      <c r="T169" s="110" t="inlineStr">
        <is>
          <t>REGENXBIO Inc., a clinical-stage biotechnology company, provides gene therapies that deliver functional genes to cells with genetic defects in the United States. Its gene therapy product candidates ar</t>
        </is>
      </c>
    </row>
    <row r="170" ht="30" customHeight="1" s="89">
      <c r="A170" s="111" t="inlineStr">
        <is>
          <t>MYGN</t>
        </is>
      </c>
      <c r="B170" s="112" t="inlineStr">
        <is>
          <t>Myriad Genetics, Inc.</t>
        </is>
      </c>
      <c r="C170" s="113" t="inlineStr">
        <is>
          <t>NASDAQ</t>
        </is>
      </c>
      <c r="D170" s="174" t="inlineStr">
        <is>
          <t>Oncology</t>
        </is>
      </c>
      <c r="E170" s="112" t="inlineStr">
        <is>
          <t>Ovarian Neoplasms</t>
        </is>
      </c>
      <c r="F170" s="171" t="inlineStr">
        <is>
          <t>Small Molecule</t>
        </is>
      </c>
      <c r="G170" s="112" t="inlineStr">
        <is>
          <t>Niraparib</t>
        </is>
      </c>
      <c r="H170" s="172" t="inlineStr">
        <is>
          <t>Phase 3</t>
        </is>
      </c>
      <c r="I170" s="113" t="inlineStr">
        <is>
          <t>May 2019</t>
        </is>
      </c>
      <c r="J170" s="112" t="inlineStr">
        <is>
          <t>Phase 3 Readout</t>
        </is>
      </c>
      <c r="K170" s="112" t="inlineStr">
        <is>
          <t>Gynecologic Oncology Group; European Network of Gynaecological Oncological Trial Groups (ENGOT); Myriad Genetics, Inc.</t>
        </is>
      </c>
      <c r="L170" s="115" t="n">
        <v>435.7</v>
      </c>
      <c r="M170" s="115" t="n">
        <v>149.6</v>
      </c>
      <c r="N170" s="116" t="n"/>
      <c r="O170" s="117" t="inlineStr">
        <is>
          <t>CF+</t>
        </is>
      </c>
      <c r="P170" s="118" t="inlineStr">
        <is>
          <t>✅ CF+</t>
        </is>
      </c>
      <c r="Q170" s="119">
        <f>IFERROR(L170-M170,"")</f>
        <v/>
      </c>
      <c r="R170" s="120" t="n">
        <v>10.32</v>
      </c>
      <c r="S170" s="120" t="n">
        <v>3.76</v>
      </c>
      <c r="T170" s="121" t="inlineStr">
        <is>
          <t>Myriad Genetics, Inc., a molecular diagnostics and precision medicine company, develops molecular tests. The company offers molecular diagnostic tests for oncology, women's health, and pharmacogenomic</t>
        </is>
      </c>
    </row>
    <row r="171" ht="30" customHeight="1" s="89">
      <c r="A171" s="100" t="inlineStr">
        <is>
          <t>RLMD</t>
        </is>
      </c>
      <c r="B171" s="101" t="inlineStr">
        <is>
          <t>Relmada Therapeutics, Inc.</t>
        </is>
      </c>
      <c r="C171" s="102" t="inlineStr">
        <is>
          <t>NASDAQ</t>
        </is>
      </c>
      <c r="D171" s="174" t="inlineStr">
        <is>
          <t>Oncology</t>
        </is>
      </c>
      <c r="E171" s="101" t="inlineStr">
        <is>
          <t>Bladder (Urothelial, Transitional Cell) Cancer</t>
        </is>
      </c>
      <c r="F171" s="171" t="inlineStr">
        <is>
          <t>Small Molecule</t>
        </is>
      </c>
      <c r="G171" s="101" t="inlineStr">
        <is>
          <t>NDV-01 (sustained-release gemcitabine-docetaxel)</t>
        </is>
      </c>
      <c r="H171" s="172" t="inlineStr">
        <is>
          <t>Phase 3</t>
        </is>
      </c>
      <c r="I171" s="102" t="inlineStr">
        <is>
          <t>Sep 2029</t>
        </is>
      </c>
      <c r="J171" s="101" t="inlineStr">
        <is>
          <t>Phase 3 Readout</t>
        </is>
      </c>
      <c r="K171" s="101" t="inlineStr"/>
      <c r="L171" s="104" t="n">
        <v>433.4</v>
      </c>
      <c r="M171" s="104" t="n">
        <v>13.9</v>
      </c>
      <c r="N171" s="123" t="n">
        <v>6.6</v>
      </c>
      <c r="O171" s="106">
        <f>IFERROR(ROUND(M171/N171,1),"")</f>
        <v/>
      </c>
      <c r="P171" s="107">
        <f>IFERROR(IF(O171="CF+","✅ CF+",IF(O171&lt;4,"🔴 &lt;4Q",IF(O171&lt;8,"🟡 4-8Q","🟢 &gt;8Q"))),"—")</f>
        <v/>
      </c>
      <c r="Q171" s="108">
        <f>IFERROR(L171-M171,"")</f>
        <v/>
      </c>
      <c r="R171" s="109" t="n">
        <v>7.51</v>
      </c>
      <c r="S171" s="109" t="n">
        <v>0.24</v>
      </c>
      <c r="T171" s="110" t="inlineStr">
        <is>
          <t>Relmada Therapeutics, Inc. operates as a clinical-stage biotechnology company in the United States. The company focuses on the development of NDV-01, a controlled-release intravesical formulation of g</t>
        </is>
      </c>
    </row>
    <row r="172" ht="30" customHeight="1" s="89">
      <c r="A172" s="111" t="inlineStr">
        <is>
          <t>ACRS</t>
        </is>
      </c>
      <c r="B172" s="112" t="inlineStr">
        <is>
          <t>Aclaris Therapeutics, Inc.</t>
        </is>
      </c>
      <c r="C172" s="113" t="inlineStr">
        <is>
          <t>NASDAQ</t>
        </is>
      </c>
      <c r="D172" s="178" t="inlineStr">
        <is>
          <t>Immunology</t>
        </is>
      </c>
      <c r="E172" s="112" t="inlineStr">
        <is>
          <t>Seborrheic Keratosis</t>
        </is>
      </c>
      <c r="F172" s="171" t="inlineStr">
        <is>
          <t>Small Molecule</t>
        </is>
      </c>
      <c r="G172" s="112" t="inlineStr">
        <is>
          <t>A-101 Solution</t>
        </is>
      </c>
      <c r="H172" s="172" t="inlineStr">
        <is>
          <t>Phase 3</t>
        </is>
      </c>
      <c r="I172" s="113" t="inlineStr">
        <is>
          <t>Oct 2016</t>
        </is>
      </c>
      <c r="J172" s="112" t="inlineStr">
        <is>
          <t>Phase 3 Data Readout</t>
        </is>
      </c>
      <c r="K172" s="112" t="inlineStr"/>
      <c r="L172" s="115" t="n">
        <v>428.6</v>
      </c>
      <c r="M172" s="115" t="n">
        <v>90.8</v>
      </c>
      <c r="N172" s="122" t="n">
        <v>12</v>
      </c>
      <c r="O172" s="117">
        <f>IFERROR(ROUND(M172/N172,1),"")</f>
        <v/>
      </c>
      <c r="P172" s="118">
        <f>IFERROR(IF(O172="CF+","✅ CF+",IF(O172&lt;4,"🔴 &lt;4Q",IF(O172&lt;8,"🟡 4-8Q","🟢 &gt;8Q"))),"—")</f>
        <v/>
      </c>
      <c r="Q172" s="119">
        <f>IFERROR(L172-M172,"")</f>
        <v/>
      </c>
      <c r="R172" s="120" t="n">
        <v>4.89</v>
      </c>
      <c r="S172" s="120" t="n">
        <v>1.05</v>
      </c>
      <c r="T172" s="121" t="inlineStr">
        <is>
          <t>Aclaris Therapeutics, Inc., a clinical-stage biopharmaceutical company, engages in the discovering and developing novel molecule product candidates for immuno-inflammatory diseases in the United State</t>
        </is>
      </c>
    </row>
    <row r="173" ht="30" customHeight="1" s="89">
      <c r="A173" s="100" t="inlineStr">
        <is>
          <t>ITIC</t>
        </is>
      </c>
      <c r="B173" s="101" t="inlineStr">
        <is>
          <t>Investors Title Company</t>
        </is>
      </c>
      <c r="C173" s="102" t="inlineStr">
        <is>
          <t>NASDAQ</t>
        </is>
      </c>
      <c r="D173" s="103" t="inlineStr"/>
      <c r="E173" s="101" t="inlineStr"/>
      <c r="F173" s="103" t="inlineStr"/>
      <c r="G173" s="101" t="inlineStr"/>
      <c r="H173" s="103" t="inlineStr"/>
      <c r="I173" s="102" t="inlineStr"/>
      <c r="J173" s="101" t="inlineStr"/>
      <c r="K173" s="101" t="inlineStr"/>
      <c r="L173" s="104" t="n">
        <v>421.4</v>
      </c>
      <c r="M173" s="104" t="n">
        <v>89.59999999999999</v>
      </c>
      <c r="N173" s="105" t="n"/>
      <c r="O173" s="106" t="inlineStr">
        <is>
          <t>CF+</t>
        </is>
      </c>
      <c r="P173" s="107" t="inlineStr">
        <is>
          <t>✅ CF+</t>
        </is>
      </c>
      <c r="Q173" s="108">
        <f>IFERROR(L173-M173,"")</f>
        <v/>
      </c>
      <c r="R173" s="109" t="n">
        <v>288.98</v>
      </c>
      <c r="S173" s="109" t="n">
        <v>190.2</v>
      </c>
      <c r="T173" s="110" t="inlineStr">
        <is>
          <t>Investors Title Company engages in the issuance of residential and commercial title insurance for residential, institutional, commercial, and industrial properties. It underwrites land title insurance</t>
        </is>
      </c>
    </row>
    <row r="174" ht="30" customHeight="1" s="89">
      <c r="A174" s="111" t="inlineStr">
        <is>
          <t>IPSC</t>
        </is>
      </c>
      <c r="B174" s="112" t="inlineStr">
        <is>
          <t>Century Therapeutics, Inc.</t>
        </is>
      </c>
      <c r="C174" s="113" t="inlineStr">
        <is>
          <t>NASDAQ</t>
        </is>
      </c>
      <c r="D174" s="174" t="inlineStr">
        <is>
          <t>Oncology</t>
        </is>
      </c>
      <c r="E174" s="112" t="inlineStr">
        <is>
          <t>Systemic Lupus Erythematosus</t>
        </is>
      </c>
      <c r="F174" s="173" t="inlineStr">
        <is>
          <t>Monoclonal Ab (mAb)</t>
        </is>
      </c>
      <c r="G174" s="112" t="inlineStr">
        <is>
          <t>CNTY-101</t>
        </is>
      </c>
      <c r="H174" s="174" t="inlineStr">
        <is>
          <t>Phase 1</t>
        </is>
      </c>
      <c r="I174" s="113" t="inlineStr">
        <is>
          <t>Aug 2028</t>
        </is>
      </c>
      <c r="J174" s="112" t="inlineStr">
        <is>
          <t>Phase 1 Data / Dose Escalation</t>
        </is>
      </c>
      <c r="K174" s="112" t="inlineStr"/>
      <c r="L174" s="115" t="n">
        <v>420.6</v>
      </c>
      <c r="M174" s="115" t="n">
        <v>117.1</v>
      </c>
      <c r="N174" s="122" t="n">
        <v>26.6</v>
      </c>
      <c r="O174" s="117">
        <f>IFERROR(ROUND(M174/N174,1),"")</f>
        <v/>
      </c>
      <c r="P174" s="118">
        <f>IFERROR(IF(O174="CF+","✅ CF+",IF(O174&lt;4,"🔴 &lt;4Q",IF(O174&lt;8,"🟡 4-8Q","🟢 &gt;8Q"))),"—")</f>
        <v/>
      </c>
      <c r="Q174" s="119">
        <f>IFERROR(L174-M174,"")</f>
        <v/>
      </c>
      <c r="R174" s="120" t="n">
        <v>3.04</v>
      </c>
      <c r="S174" s="120" t="n">
        <v>0.34</v>
      </c>
      <c r="T174" s="121" t="inlineStr">
        <is>
          <t xml:space="preserve">Century Therapeutics, Inc., a biotechnology company, engages in the development of allogeneic cell therapies for the treatment of solid tumor, hematological malignancies, and autoimmune diseases. Its </t>
        </is>
      </c>
    </row>
    <row r="175" ht="30" customHeight="1" s="89">
      <c r="A175" s="100" t="inlineStr">
        <is>
          <t>MNPR</t>
        </is>
      </c>
      <c r="B175" s="101" t="inlineStr">
        <is>
          <t>Monopar Therapeutics Inc.</t>
        </is>
      </c>
      <c r="C175" s="102" t="inlineStr">
        <is>
          <t>NASDAQ</t>
        </is>
      </c>
      <c r="D175" s="103" t="inlineStr"/>
      <c r="E175" s="101" t="inlineStr"/>
      <c r="F175" s="103" t="inlineStr"/>
      <c r="G175" s="101" t="inlineStr"/>
      <c r="H175" s="103" t="inlineStr"/>
      <c r="I175" s="102" t="inlineStr"/>
      <c r="J175" s="101" t="inlineStr"/>
      <c r="K175" s="101" t="inlineStr"/>
      <c r="L175" s="104" t="n">
        <v>403.4</v>
      </c>
      <c r="M175" s="104" t="n">
        <v>143.7</v>
      </c>
      <c r="N175" s="123" t="n">
        <v>1.6</v>
      </c>
      <c r="O175" s="106">
        <f>IFERROR(ROUND(M175/N175,1),"")</f>
        <v/>
      </c>
      <c r="P175" s="107">
        <f>IFERROR(IF(O175="CF+","✅ CF+",IF(O175&lt;4,"🔴 &lt;4Q",IF(O175&lt;8,"🟡 4-8Q","🟢 &gt;8Q"))),"—")</f>
        <v/>
      </c>
      <c r="Q175" s="108">
        <f>IFERROR(L175-M175,"")</f>
        <v/>
      </c>
      <c r="R175" s="109" t="n">
        <v>105</v>
      </c>
      <c r="S175" s="109" t="n">
        <v>26.05</v>
      </c>
      <c r="T175" s="110" t="inlineStr">
        <is>
          <t>Monopar Therapeutics Inc., a clinical-stage biopharmaceutical company, engages in developing therapeutics for the treatment of cancer in the United States. The company develops ALXN1840, a late-stage,</t>
        </is>
      </c>
    </row>
    <row r="176" ht="30" customHeight="1" s="89">
      <c r="A176" s="111" t="inlineStr">
        <is>
          <t>PACB</t>
        </is>
      </c>
      <c r="B176" s="112" t="inlineStr">
        <is>
          <t>Pacific Biosciences of California, Inc.</t>
        </is>
      </c>
      <c r="C176" s="113" t="inlineStr">
        <is>
          <t>NASDAQ</t>
        </is>
      </c>
      <c r="D176" s="114" t="inlineStr"/>
      <c r="E176" s="112" t="inlineStr"/>
      <c r="F176" s="114" t="inlineStr"/>
      <c r="G176" s="112" t="inlineStr"/>
      <c r="H176" s="114" t="inlineStr"/>
      <c r="I176" s="113" t="inlineStr"/>
      <c r="J176" s="112" t="inlineStr"/>
      <c r="K176" s="112" t="inlineStr"/>
      <c r="L176" s="115" t="n">
        <v>401.7</v>
      </c>
      <c r="M176" s="115" t="n">
        <v>279.5</v>
      </c>
      <c r="N176" s="122" t="n">
        <v>18.9</v>
      </c>
      <c r="O176" s="117">
        <f>IFERROR(ROUND(M176/N176,1),"")</f>
        <v/>
      </c>
      <c r="P176" s="118">
        <f>IFERROR(IF(O176="CF+","✅ CF+",IF(O176&lt;4,"🔴 &lt;4Q",IF(O176&lt;8,"🟡 4-8Q","🟢 &gt;8Q"))),"—")</f>
        <v/>
      </c>
      <c r="Q176" s="119">
        <f>IFERROR(L176-M176,"")</f>
        <v/>
      </c>
      <c r="R176" s="120" t="n">
        <v>2.73</v>
      </c>
      <c r="S176" s="120" t="n">
        <v>0.85</v>
      </c>
      <c r="T176" s="121" t="inlineStr">
        <is>
          <t xml:space="preserve">Pacific Biosciences of California, Inc. designs, develops, and manufactures sequencing solutions to resolve genetically complex problems. The company provides sequencing systems; consumable products, </t>
        </is>
      </c>
    </row>
    <row r="177" ht="30" customHeight="1" s="89">
      <c r="A177" s="100" t="inlineStr">
        <is>
          <t>AKBA</t>
        </is>
      </c>
      <c r="B177" s="101" t="inlineStr">
        <is>
          <t>Akebia Therapeutics, Inc.</t>
        </is>
      </c>
      <c r="C177" s="102" t="inlineStr">
        <is>
          <t>NASDAQ</t>
        </is>
      </c>
      <c r="D177" s="169" t="inlineStr">
        <is>
          <t>Other</t>
        </is>
      </c>
      <c r="E177" s="101" t="inlineStr">
        <is>
          <t>Anemia</t>
        </is>
      </c>
      <c r="F177" s="171" t="inlineStr">
        <is>
          <t>Small Molecule</t>
        </is>
      </c>
      <c r="G177" s="101" t="inlineStr">
        <is>
          <t>Vadadustat</t>
        </is>
      </c>
      <c r="H177" s="172" t="inlineStr">
        <is>
          <t>Phase 3</t>
        </is>
      </c>
      <c r="I177" s="102" t="inlineStr">
        <is>
          <t>Nov 2021</t>
        </is>
      </c>
      <c r="J177" s="101" t="inlineStr">
        <is>
          <t>Phase 3 Data Readout</t>
        </is>
      </c>
      <c r="K177" s="101" t="inlineStr">
        <is>
          <t>Otsuka Pharmaceutical Development &amp; Commercialization, Inc.</t>
        </is>
      </c>
      <c r="L177" s="104" t="n">
        <v>391.1</v>
      </c>
      <c r="M177" s="104" t="n">
        <v>184.8</v>
      </c>
      <c r="N177" s="105" t="n"/>
      <c r="O177" s="106" t="inlineStr">
        <is>
          <t>CF+</t>
        </is>
      </c>
      <c r="P177" s="107" t="inlineStr">
        <is>
          <t>✅ CF+</t>
        </is>
      </c>
      <c r="Q177" s="108">
        <f>IFERROR(L177-M177,"")</f>
        <v/>
      </c>
      <c r="R177" s="109" t="n">
        <v>4.08</v>
      </c>
      <c r="S177" s="109" t="n">
        <v>1.14</v>
      </c>
      <c r="T177" s="110" t="inlineStr">
        <is>
          <t>Akebia Therapeutics, Inc., a biopharmaceutical company, focuses on the development and commercialization of therapeutics for patients with kidney diseases. Its product portfolio includes Vafseo (vadad</t>
        </is>
      </c>
    </row>
    <row r="178" ht="30" customHeight="1" s="89">
      <c r="A178" s="111" t="inlineStr">
        <is>
          <t>ARMP</t>
        </is>
      </c>
      <c r="B178" s="112" t="inlineStr">
        <is>
          <t>Armata Pharmaceuticals, Inc.</t>
        </is>
      </c>
      <c r="C178" s="113" t="inlineStr">
        <is>
          <t>NYSE American</t>
        </is>
      </c>
      <c r="D178" s="172" t="inlineStr">
        <is>
          <t>Rare Disease</t>
        </is>
      </c>
      <c r="E178" s="112" t="inlineStr">
        <is>
          <t>Dental Caries</t>
        </is>
      </c>
      <c r="F178" s="171" t="inlineStr">
        <is>
          <t>Small Molecule</t>
        </is>
      </c>
      <c r="G178" s="112" t="inlineStr">
        <is>
          <t>C16G2 Strip</t>
        </is>
      </c>
      <c r="H178" s="168" t="inlineStr">
        <is>
          <t>Phase 2</t>
        </is>
      </c>
      <c r="I178" s="113" t="inlineStr">
        <is>
          <t>Apr 2017</t>
        </is>
      </c>
      <c r="J178" s="112" t="inlineStr">
        <is>
          <t>Phase 2 Data Readout</t>
        </is>
      </c>
      <c r="K178" s="112" t="inlineStr">
        <is>
          <t>Vantage Data Designs, Inc.; E Squared Trials and Registries, Inc.; Agility Clinical, Inc.</t>
        </is>
      </c>
      <c r="L178" s="115" t="n">
        <v>383.7</v>
      </c>
      <c r="M178" s="115" t="n">
        <v>14.8</v>
      </c>
      <c r="N178" s="122" t="n">
        <v>5.8</v>
      </c>
      <c r="O178" s="117">
        <f>IFERROR(ROUND(M178/N178,1),"")</f>
        <v/>
      </c>
      <c r="P178" s="118">
        <f>IFERROR(IF(O178="CF+","✅ CF+",IF(O178&lt;4,"🔴 &lt;4Q",IF(O178&lt;8,"🟡 4-8Q","🟢 &gt;8Q"))),"—")</f>
        <v/>
      </c>
      <c r="Q178" s="119">
        <f>IFERROR(L178-M178,"")</f>
        <v/>
      </c>
      <c r="R178" s="120" t="n">
        <v>16.34</v>
      </c>
      <c r="S178" s="120" t="n">
        <v>0.9</v>
      </c>
      <c r="T178" s="121" t="inlineStr">
        <is>
          <t>Armata Pharmaceuticals, Inc. operates as a clinical-stage biotechnology company that focuses on the development of targeted bacteriophage therapeutics for antibiotic-resistant infections worldwide. It</t>
        </is>
      </c>
    </row>
    <row r="179" ht="30" customHeight="1" s="89">
      <c r="A179" s="100" t="inlineStr">
        <is>
          <t>AUTL</t>
        </is>
      </c>
      <c r="B179" s="101" t="inlineStr">
        <is>
          <t>Autolus Therapeutics plc</t>
        </is>
      </c>
      <c r="C179" s="102" t="inlineStr">
        <is>
          <t>NASDAQ (ADR)</t>
        </is>
      </c>
      <c r="D179" s="103" t="inlineStr"/>
      <c r="E179" s="101" t="inlineStr"/>
      <c r="F179" s="103" t="inlineStr"/>
      <c r="G179" s="101" t="inlineStr"/>
      <c r="H179" s="103" t="inlineStr"/>
      <c r="I179" s="102" t="inlineStr"/>
      <c r="J179" s="101" t="inlineStr"/>
      <c r="K179" s="101" t="inlineStr"/>
      <c r="L179" s="104" t="n">
        <v>383.2</v>
      </c>
      <c r="M179" s="104" t="n">
        <v>367.4</v>
      </c>
      <c r="N179" s="123" t="n">
        <v>70.3</v>
      </c>
      <c r="O179" s="106">
        <f>IFERROR(ROUND(M179/N179,1),"")</f>
        <v/>
      </c>
      <c r="P179" s="107">
        <f>IFERROR(IF(O179="CF+","✅ CF+",IF(O179&lt;4,"🔴 &lt;4Q",IF(O179&lt;8,"🟡 4-8Q","🟢 &gt;8Q"))),"—")</f>
        <v/>
      </c>
      <c r="Q179" s="108">
        <f>IFERROR(L179-M179,"")</f>
        <v/>
      </c>
      <c r="R179" s="109" t="n">
        <v>2.7</v>
      </c>
      <c r="S179" s="109" t="n">
        <v>1.1</v>
      </c>
      <c r="T179" s="110" t="inlineStr">
        <is>
          <t>Autolus Therapeutics plc, a clinical-stage biopharmaceutical company, develops T cell therapies for the treatment of cancer and autoimmune diseases in the United Kingdom and internationally. The compa</t>
        </is>
      </c>
    </row>
    <row r="180" ht="30" customHeight="1" s="89">
      <c r="A180" s="111" t="inlineStr">
        <is>
          <t>LENZ</t>
        </is>
      </c>
      <c r="B180" s="112" t="inlineStr">
        <is>
          <t>LENZ Therapeutics, Inc.</t>
        </is>
      </c>
      <c r="C180" s="113" t="inlineStr">
        <is>
          <t>NASDAQ</t>
        </is>
      </c>
      <c r="D180" s="179" t="inlineStr">
        <is>
          <t>Ophthalmology</t>
        </is>
      </c>
      <c r="E180" s="112" t="inlineStr">
        <is>
          <t>Presbyopia</t>
        </is>
      </c>
      <c r="F180" s="171" t="inlineStr">
        <is>
          <t>Small Molecule</t>
        </is>
      </c>
      <c r="G180" s="112" t="inlineStr">
        <is>
          <t>Aceclidine+Brimonidine combination ophthalmic solution</t>
        </is>
      </c>
      <c r="H180" s="172" t="inlineStr">
        <is>
          <t>Phase 3</t>
        </is>
      </c>
      <c r="I180" s="113" t="inlineStr">
        <is>
          <t>Aug 2024</t>
        </is>
      </c>
      <c r="J180" s="112" t="inlineStr">
        <is>
          <t>Phase 3 Data Readout</t>
        </is>
      </c>
      <c r="K180" s="112" t="inlineStr">
        <is>
          <t>LENZ Therapeutics, Inc</t>
        </is>
      </c>
      <c r="L180" s="115" t="n">
        <v>380.2</v>
      </c>
      <c r="M180" s="115" t="n">
        <v>202.2</v>
      </c>
      <c r="N180" s="122" t="n">
        <v>10</v>
      </c>
      <c r="O180" s="117">
        <f>IFERROR(ROUND(M180/N180,1),"")</f>
        <v/>
      </c>
      <c r="P180" s="118">
        <f>IFERROR(IF(O180="CF+","✅ CF+",IF(O180&lt;4,"🔴 &lt;4Q",IF(O180&lt;8,"🟡 4-8Q","🟢 &gt;8Q"))),"—")</f>
        <v/>
      </c>
      <c r="Q180" s="119">
        <f>IFERROR(L180-M180,"")</f>
        <v/>
      </c>
      <c r="R180" s="120" t="n">
        <v>50.4</v>
      </c>
      <c r="S180" s="120" t="n">
        <v>11.21</v>
      </c>
      <c r="T180" s="121" t="inlineStr">
        <is>
          <t>LENZ Therapeutics, Inc. operates as a biopharmaceutical company that focuses on the development and commercialization of therapies to improve vision in the United States. Its product candidates includ</t>
        </is>
      </c>
    </row>
    <row r="181" ht="30" customHeight="1" s="89">
      <c r="A181" s="100" t="inlineStr">
        <is>
          <t>STRO</t>
        </is>
      </c>
      <c r="B181" s="101" t="inlineStr">
        <is>
          <t>Sutro Biopharma, Inc.</t>
        </is>
      </c>
      <c r="C181" s="102" t="inlineStr">
        <is>
          <t>NGM</t>
        </is>
      </c>
      <c r="D181" s="174" t="inlineStr">
        <is>
          <t>Oncology</t>
        </is>
      </c>
      <c r="E181" s="101" t="inlineStr">
        <is>
          <t>Neoplasm Malignant</t>
        </is>
      </c>
      <c r="F181" s="173" t="inlineStr">
        <is>
          <t>Monoclonal Ab (mAb)</t>
        </is>
      </c>
      <c r="G181" s="101" t="inlineStr">
        <is>
          <t>STRO-002</t>
        </is>
      </c>
      <c r="H181" s="176" t="inlineStr">
        <is>
          <t>Phase 1/2</t>
        </is>
      </c>
      <c r="I181" s="102" t="inlineStr">
        <is>
          <t>Dec 2026</t>
        </is>
      </c>
      <c r="J181" s="101" t="inlineStr">
        <is>
          <t>Phase 1/2 Data Readout</t>
        </is>
      </c>
      <c r="K181" s="101" t="inlineStr">
        <is>
          <t>Sutro Biopharma, Inc.</t>
        </is>
      </c>
      <c r="L181" s="104" t="n">
        <v>378.2</v>
      </c>
      <c r="M181" s="104" t="n">
        <v>167.6</v>
      </c>
      <c r="N181" s="123" t="n">
        <v>41.5</v>
      </c>
      <c r="O181" s="106">
        <f>IFERROR(ROUND(M181/N181,1),"")</f>
        <v/>
      </c>
      <c r="P181" s="107">
        <f>IFERROR(IF(O181="CF+","✅ CF+",IF(O181&lt;4,"🔴 &lt;4Q",IF(O181&lt;8,"🟡 4-8Q","🟢 &gt;8Q"))),"—")</f>
        <v/>
      </c>
      <c r="Q181" s="108">
        <f>IFERROR(L181-M181,"")</f>
        <v/>
      </c>
      <c r="R181" s="109" t="n">
        <v>26.54</v>
      </c>
      <c r="S181" s="109" t="n">
        <v>5.2</v>
      </c>
      <c r="T181" s="110" t="inlineStr">
        <is>
          <t>Sutro Biopharma, Inc. operates as a oncology company. The company develops site-specific and novel-format antibody drug conjugates (ADCs) that enables its proprietary integrated cell-free protein synt</t>
        </is>
      </c>
    </row>
    <row r="182" ht="30" customHeight="1" s="89">
      <c r="A182" s="111" t="inlineStr">
        <is>
          <t>AURA</t>
        </is>
      </c>
      <c r="B182" s="112" t="inlineStr">
        <is>
          <t>Aura Biosciences, Inc.</t>
        </is>
      </c>
      <c r="C182" s="113" t="inlineStr">
        <is>
          <t>NGM</t>
        </is>
      </c>
      <c r="D182" s="114" t="inlineStr"/>
      <c r="E182" s="112" t="inlineStr"/>
      <c r="F182" s="114" t="inlineStr"/>
      <c r="G182" s="112" t="inlineStr"/>
      <c r="H182" s="114" t="inlineStr"/>
      <c r="I182" s="113" t="inlineStr"/>
      <c r="J182" s="112" t="inlineStr"/>
      <c r="K182" s="112" t="inlineStr"/>
      <c r="L182" s="115" t="n">
        <v>377.2</v>
      </c>
      <c r="M182" s="115" t="n">
        <v>161.9</v>
      </c>
      <c r="N182" s="122" t="n">
        <v>20.5</v>
      </c>
      <c r="O182" s="117">
        <f>IFERROR(ROUND(M182/N182,1),"")</f>
        <v/>
      </c>
      <c r="P182" s="118">
        <f>IFERROR(IF(O182="CF+","✅ CF+",IF(O182&lt;4,"🔴 &lt;4Q",IF(O182&lt;8,"🟡 4-8Q","🟢 &gt;8Q"))),"—")</f>
        <v/>
      </c>
      <c r="Q182" s="119">
        <f>IFERROR(L182-M182,"")</f>
        <v/>
      </c>
      <c r="R182" s="120" t="n">
        <v>7.73</v>
      </c>
      <c r="S182" s="120" t="n">
        <v>4.34</v>
      </c>
      <c r="T182" s="121" t="inlineStr">
        <is>
          <t xml:space="preserve">Aura Biosciences, Inc., a clinical-stage biotechnology company, develops precision therapies to treat solid tumors. The company's proprietary platform enables the targeting of a range of solid tumors </t>
        </is>
      </c>
    </row>
    <row r="183" ht="30" customHeight="1" s="89">
      <c r="A183" s="100" t="inlineStr">
        <is>
          <t>EVTL</t>
        </is>
      </c>
      <c r="B183" s="101" t="inlineStr">
        <is>
          <t>Vertical Aerospace Ltd.</t>
        </is>
      </c>
      <c r="C183" s="102" t="inlineStr">
        <is>
          <t>NYSE (ADR)</t>
        </is>
      </c>
      <c r="D183" s="103" t="inlineStr"/>
      <c r="E183" s="101" t="inlineStr"/>
      <c r="F183" s="103" t="inlineStr"/>
      <c r="G183" s="101" t="inlineStr"/>
      <c r="H183" s="103" t="inlineStr"/>
      <c r="I183" s="102" t="inlineStr"/>
      <c r="J183" s="101" t="inlineStr"/>
      <c r="K183" s="101" t="inlineStr"/>
      <c r="L183" s="104" t="n">
        <v>373.2</v>
      </c>
      <c r="M183" s="104" t="n">
        <v>91.7</v>
      </c>
      <c r="N183" s="123" t="n">
        <v>13.2</v>
      </c>
      <c r="O183" s="106">
        <f>IFERROR(ROUND(M183/N183,1),"")</f>
        <v/>
      </c>
      <c r="P183" s="107">
        <f>IFERROR(IF(O183="CF+","✅ CF+",IF(O183&lt;4,"🔴 &lt;4Q",IF(O183&lt;8,"🟡 4-8Q","🟢 &gt;8Q"))),"—")</f>
        <v/>
      </c>
      <c r="Q183" s="108">
        <f>IFERROR(L183-M183,"")</f>
        <v/>
      </c>
      <c r="R183" s="109" t="n">
        <v>7.6</v>
      </c>
      <c r="S183" s="109" t="n">
        <v>2.76</v>
      </c>
      <c r="T183" s="110" t="inlineStr">
        <is>
          <t>Vertical Aerospace Ltd., an aerospace and technology company, engages in designing, manufacturing, and selling zero operating emission electric vertical takeoff and landing (eVTOL) aircraft for use in</t>
        </is>
      </c>
    </row>
    <row r="184" ht="30" customHeight="1" s="89">
      <c r="A184" s="111" t="inlineStr">
        <is>
          <t>LCTX</t>
        </is>
      </c>
      <c r="B184" s="112" t="inlineStr">
        <is>
          <t>Lineage Cell Therapeutics, Inc.</t>
        </is>
      </c>
      <c r="C184" s="113" t="inlineStr">
        <is>
          <t>NYSE American</t>
        </is>
      </c>
      <c r="D184" s="169" t="inlineStr">
        <is>
          <t>Other</t>
        </is>
      </c>
      <c r="E184" s="112" t="inlineStr">
        <is>
          <t>Cervical Spinal Cord Injury</t>
        </is>
      </c>
      <c r="F184" s="173" t="inlineStr">
        <is>
          <t>Monoclonal Ab (mAb)</t>
        </is>
      </c>
      <c r="G184" s="112" t="inlineStr">
        <is>
          <t>AST-OPC1</t>
        </is>
      </c>
      <c r="H184" s="176" t="inlineStr">
        <is>
          <t>Phase 1/2</t>
        </is>
      </c>
      <c r="I184" s="113" t="inlineStr">
        <is>
          <t>Dec 2018</t>
        </is>
      </c>
      <c r="J184" s="112" t="inlineStr">
        <is>
          <t>Phase 1/2 Data Readout</t>
        </is>
      </c>
      <c r="K184" s="112" t="inlineStr"/>
      <c r="L184" s="115" t="n">
        <v>370.8</v>
      </c>
      <c r="M184" s="115" t="n">
        <v>55.8</v>
      </c>
      <c r="N184" s="122" t="n">
        <v>4.6</v>
      </c>
      <c r="O184" s="117">
        <f>IFERROR(ROUND(M184/N184,1),"")</f>
        <v/>
      </c>
      <c r="P184" s="118">
        <f>IFERROR(IF(O184="CF+","✅ CF+",IF(O184&lt;4,"🔴 &lt;4Q",IF(O184&lt;8,"🟡 4-8Q","🟢 &gt;8Q"))),"—")</f>
        <v/>
      </c>
      <c r="Q184" s="119">
        <f>IFERROR(L184-M184,"")</f>
        <v/>
      </c>
      <c r="R184" s="120" t="n">
        <v>2.09</v>
      </c>
      <c r="S184" s="120" t="n">
        <v>0.37</v>
      </c>
      <c r="T184" s="121" t="inlineStr">
        <is>
          <t>Lineage Cell Therapeutics, Inc., a clinical-stage biotechnology company, developing cell replacement therapies to treat serious medical conditions in the United States and internationally. The company</t>
        </is>
      </c>
    </row>
    <row r="185" ht="30" customHeight="1" s="89">
      <c r="A185" s="100" t="inlineStr">
        <is>
          <t>ENTA</t>
        </is>
      </c>
      <c r="B185" s="101" t="inlineStr">
        <is>
          <t>Enanta Pharmaceuticals, Inc.</t>
        </is>
      </c>
      <c r="C185" s="102" t="inlineStr">
        <is>
          <t>NASDAQ</t>
        </is>
      </c>
      <c r="D185" s="174" t="inlineStr">
        <is>
          <t>Oncology</t>
        </is>
      </c>
      <c r="E185" s="101" t="inlineStr">
        <is>
          <t>RSV Infection</t>
        </is>
      </c>
      <c r="F185" s="171" t="inlineStr">
        <is>
          <t>Small Molecule</t>
        </is>
      </c>
      <c r="G185" s="101" t="inlineStr">
        <is>
          <t>EDP-938 Dose 1</t>
        </is>
      </c>
      <c r="H185" s="168" t="inlineStr">
        <is>
          <t>Phase 2</t>
        </is>
      </c>
      <c r="I185" s="102" t="inlineStr">
        <is>
          <t>Sep 2019</t>
        </is>
      </c>
      <c r="J185" s="101" t="inlineStr">
        <is>
          <t>Phase 2 Data Readout</t>
        </is>
      </c>
      <c r="K185" s="101" t="inlineStr">
        <is>
          <t>hVIVO Services Limited</t>
        </is>
      </c>
      <c r="L185" s="104" t="n">
        <v>368.5</v>
      </c>
      <c r="M185" s="104" t="n">
        <v>185.8</v>
      </c>
      <c r="N185" s="123" t="n">
        <v>9.1</v>
      </c>
      <c r="O185" s="106">
        <f>IFERROR(ROUND(M185/N185,1),"")</f>
        <v/>
      </c>
      <c r="P185" s="107">
        <f>IFERROR(IF(O185="CF+","✅ CF+",IF(O185&lt;4,"🔴 &lt;4Q",IF(O185&lt;8,"🟡 4-8Q","🟢 &gt;8Q"))),"—")</f>
        <v/>
      </c>
      <c r="Q185" s="108">
        <f>IFERROR(L185-M185,"")</f>
        <v/>
      </c>
      <c r="R185" s="109" t="n">
        <v>17.15</v>
      </c>
      <c r="S185" s="109" t="n">
        <v>4.09</v>
      </c>
      <c r="T185" s="110" t="inlineStr">
        <is>
          <t>Enanta Pharmaceuticals, Inc., a biotechnology company, discovers and develops small molecule drugs for virology and immunology indications. The company's product pipeline comprises EDP-514, which is i</t>
        </is>
      </c>
    </row>
    <row r="186" ht="30" customHeight="1" s="89">
      <c r="A186" s="111" t="inlineStr">
        <is>
          <t>ALTO</t>
        </is>
      </c>
      <c r="B186" s="112" t="inlineStr">
        <is>
          <t>Alto Ingredients, Inc.</t>
        </is>
      </c>
      <c r="C186" s="113" t="inlineStr">
        <is>
          <t>NASDAQ</t>
        </is>
      </c>
      <c r="D186" s="114" t="inlineStr"/>
      <c r="E186" s="112" t="inlineStr"/>
      <c r="F186" s="114" t="inlineStr"/>
      <c r="G186" s="112" t="inlineStr"/>
      <c r="H186" s="114" t="inlineStr"/>
      <c r="I186" s="113" t="inlineStr"/>
      <c r="J186" s="112" t="inlineStr"/>
      <c r="K186" s="112" t="inlineStr"/>
      <c r="L186" s="115" t="n">
        <v>360.4</v>
      </c>
      <c r="M186" s="115" t="n">
        <v>23.4</v>
      </c>
      <c r="N186" s="116" t="n"/>
      <c r="O186" s="117" t="inlineStr">
        <is>
          <t>CF+</t>
        </is>
      </c>
      <c r="P186" s="118" t="inlineStr">
        <is>
          <t>✅ CF+</t>
        </is>
      </c>
      <c r="Q186" s="119">
        <f>IFERROR(L186-M186,"")</f>
        <v/>
      </c>
      <c r="R186" s="120" t="n">
        <v>4.89</v>
      </c>
      <c r="S186" s="120" t="n">
        <v>0.76</v>
      </c>
      <c r="T186" s="121" t="inlineStr">
        <is>
          <t>Alto Ingredients, Inc. produces, distributes, and markets specialty alcohols, renewable fuel, and essential ingredients in the United States. The company operates in three segments: Marketing and Dist</t>
        </is>
      </c>
    </row>
    <row r="187" ht="30" customHeight="1" s="89">
      <c r="A187" s="100" t="inlineStr">
        <is>
          <t>CADL</t>
        </is>
      </c>
      <c r="B187" s="101" t="inlineStr">
        <is>
          <t>Candel Therapeutics, Inc.</t>
        </is>
      </c>
      <c r="C187" s="102" t="inlineStr">
        <is>
          <t>NGM</t>
        </is>
      </c>
      <c r="D187" s="174" t="inlineStr">
        <is>
          <t>Oncology</t>
        </is>
      </c>
      <c r="E187" s="101" t="inlineStr">
        <is>
          <t>Prostate Cancer</t>
        </is>
      </c>
      <c r="F187" s="173" t="inlineStr">
        <is>
          <t>Monoclonal Ab (mAb)</t>
        </is>
      </c>
      <c r="G187" s="101" t="inlineStr">
        <is>
          <t>Aglatimagene besadenovec + valacyclovir</t>
        </is>
      </c>
      <c r="H187" s="172" t="inlineStr">
        <is>
          <t>Phase 3</t>
        </is>
      </c>
      <c r="I187" s="102" t="inlineStr">
        <is>
          <t>Aug 2024</t>
        </is>
      </c>
      <c r="J187" s="101" t="inlineStr">
        <is>
          <t>Phase 3 Readout</t>
        </is>
      </c>
      <c r="K187" s="101" t="inlineStr"/>
      <c r="L187" s="104" t="n">
        <v>342.1</v>
      </c>
      <c r="M187" s="104" t="n">
        <v>119.7</v>
      </c>
      <c r="N187" s="123" t="n">
        <v>9.6</v>
      </c>
      <c r="O187" s="106">
        <f>IFERROR(ROUND(M187/N187,1),"")</f>
        <v/>
      </c>
      <c r="P187" s="107">
        <f>IFERROR(IF(O187="CF+","✅ CF+",IF(O187&lt;4,"🔴 &lt;4Q",IF(O187&lt;8,"🟡 4-8Q","🟢 &gt;8Q"))),"—")</f>
        <v/>
      </c>
      <c r="Q187" s="108">
        <f>IFERROR(L187-M187,"")</f>
        <v/>
      </c>
      <c r="R187" s="109" t="n">
        <v>9.08</v>
      </c>
      <c r="S187" s="109" t="n">
        <v>4.25</v>
      </c>
      <c r="T187" s="110" t="inlineStr">
        <is>
          <t>Candel Therapeutics, Inc., a clinical stage biopharmaceutical company, develops immunotherapies for cancer patients. It develops CAN-2409, which is in Phase 2a clinical trials for the treatment of pro</t>
        </is>
      </c>
    </row>
    <row r="188" ht="30" customHeight="1" s="89">
      <c r="A188" s="111" t="inlineStr">
        <is>
          <t>ORGO</t>
        </is>
      </c>
      <c r="B188" s="112" t="inlineStr">
        <is>
          <t>Organogenesis Holdings Inc.</t>
        </is>
      </c>
      <c r="C188" s="113" t="inlineStr">
        <is>
          <t>NASDAQ</t>
        </is>
      </c>
      <c r="D188" s="114" t="inlineStr"/>
      <c r="E188" s="112" t="inlineStr"/>
      <c r="F188" s="114" t="inlineStr"/>
      <c r="G188" s="112" t="inlineStr"/>
      <c r="H188" s="114" t="inlineStr"/>
      <c r="I188" s="113" t="inlineStr"/>
      <c r="J188" s="112" t="inlineStr"/>
      <c r="K188" s="112" t="inlineStr"/>
      <c r="L188" s="115" t="n">
        <v>339.6</v>
      </c>
      <c r="M188" s="115" t="n">
        <v>95.90000000000001</v>
      </c>
      <c r="N188" s="122" t="n">
        <v>2.6</v>
      </c>
      <c r="O188" s="117">
        <f>IFERROR(ROUND(M188/N188,1),"")</f>
        <v/>
      </c>
      <c r="P188" s="118">
        <f>IFERROR(IF(O188="CF+","✅ CF+",IF(O188&lt;4,"🔴 &lt;4Q",IF(O188&lt;8,"🟡 4-8Q","🟢 &gt;8Q"))),"—")</f>
        <v/>
      </c>
      <c r="Q188" s="119">
        <f>IFERROR(L188-M188,"")</f>
        <v/>
      </c>
      <c r="R188" s="120" t="n">
        <v>7.08</v>
      </c>
      <c r="S188" s="120" t="n">
        <v>2.6</v>
      </c>
      <c r="T188" s="121" t="inlineStr">
        <is>
          <t>Organogenesis Holdings Inc., a regenerative medicine company, develops, manufactures, and commercializes products for the advanced wound care, and surgical and sports medicine markets in the United St</t>
        </is>
      </c>
    </row>
    <row r="189" ht="30" customHeight="1" s="89">
      <c r="A189" s="100" t="inlineStr">
        <is>
          <t>BCYC</t>
        </is>
      </c>
      <c r="B189" s="101" t="inlineStr">
        <is>
          <t>Bicycle Therapeutics plc</t>
        </is>
      </c>
      <c r="C189" s="102" t="inlineStr">
        <is>
          <t>NASDAQ (ADR)</t>
        </is>
      </c>
      <c r="D189" s="103" t="inlineStr"/>
      <c r="E189" s="101" t="inlineStr"/>
      <c r="F189" s="103" t="inlineStr"/>
      <c r="G189" s="101" t="inlineStr"/>
      <c r="H189" s="103" t="inlineStr"/>
      <c r="I189" s="102" t="inlineStr"/>
      <c r="J189" s="101" t="inlineStr"/>
      <c r="K189" s="101" t="inlineStr"/>
      <c r="L189" s="104" t="n">
        <v>331.6</v>
      </c>
      <c r="M189" s="104" t="n">
        <v>648.3</v>
      </c>
      <c r="N189" s="123" t="n">
        <v>72</v>
      </c>
      <c r="O189" s="106">
        <f>IFERROR(ROUND(M189/N189,1),"")</f>
        <v/>
      </c>
      <c r="P189" s="107">
        <f>IFERROR(IF(O189="CF+","✅ CF+",IF(O189&lt;4,"🔴 &lt;4Q",IF(O189&lt;8,"🟡 4-8Q","🟢 &gt;8Q"))),"—")</f>
        <v/>
      </c>
      <c r="Q189" s="108">
        <f>IFERROR(L189-M189,"")</f>
        <v/>
      </c>
      <c r="R189" s="109" t="n">
        <v>10.13</v>
      </c>
      <c r="S189" s="109" t="n">
        <v>4.77</v>
      </c>
      <c r="T189" s="110" t="inlineStr">
        <is>
          <t>Bicycle Therapeutics plc, a clinical-stage pharmaceutical company, develops a class of medicines for diseases that are underserved by existing therapeutics in the United States and the United Kingdom.</t>
        </is>
      </c>
    </row>
    <row r="190" ht="30" customHeight="1" s="89">
      <c r="A190" s="111" t="inlineStr">
        <is>
          <t>XFOR</t>
        </is>
      </c>
      <c r="B190" s="112" t="inlineStr">
        <is>
          <t>X4 Pharmaceuticals, Inc.</t>
        </is>
      </c>
      <c r="C190" s="113" t="inlineStr">
        <is>
          <t>NASDAQ</t>
        </is>
      </c>
      <c r="D190" s="114" t="inlineStr"/>
      <c r="E190" s="112" t="inlineStr"/>
      <c r="F190" s="114" t="inlineStr"/>
      <c r="G190" s="112" t="inlineStr"/>
      <c r="H190" s="114" t="inlineStr"/>
      <c r="I190" s="113" t="inlineStr"/>
      <c r="J190" s="112" t="inlineStr"/>
      <c r="K190" s="112" t="inlineStr"/>
      <c r="L190" s="115" t="n">
        <v>322.6</v>
      </c>
      <c r="M190" s="115" t="n">
        <v>122.2</v>
      </c>
      <c r="N190" s="122" t="n">
        <v>28.9</v>
      </c>
      <c r="O190" s="117">
        <f>IFERROR(ROUND(M190/N190,1),"")</f>
        <v/>
      </c>
      <c r="P190" s="118">
        <f>IFERROR(IF(O190="CF+","✅ CF+",IF(O190&lt;4,"🔴 &lt;4Q",IF(O190&lt;8,"🟡 4-8Q","🟢 &gt;8Q"))),"—")</f>
        <v/>
      </c>
      <c r="Q190" s="119">
        <f>IFERROR(L190-M190,"")</f>
        <v/>
      </c>
      <c r="R190" s="120" t="n">
        <v>10.17</v>
      </c>
      <c r="S190" s="120" t="n">
        <v>1.35</v>
      </c>
      <c r="T190" s="121" t="inlineStr">
        <is>
          <t>X4 Pharmaceuticals, Inc., a biopharmaceutical company, focuses on the research, development, and commercialization of novel therapeutics for the treatment of rare diseases of the immune system. It off</t>
        </is>
      </c>
    </row>
    <row r="191" ht="30" customHeight="1" s="89">
      <c r="A191" s="100" t="inlineStr">
        <is>
          <t>AMRN</t>
        </is>
      </c>
      <c r="B191" s="101" t="inlineStr">
        <is>
          <t>Amarin Corporation plc</t>
        </is>
      </c>
      <c r="C191" s="102" t="inlineStr">
        <is>
          <t>NASDAQ (ADR)</t>
        </is>
      </c>
      <c r="D191" s="103" t="inlineStr"/>
      <c r="E191" s="101" t="inlineStr"/>
      <c r="F191" s="103" t="inlineStr"/>
      <c r="G191" s="101" t="inlineStr"/>
      <c r="H191" s="103" t="inlineStr"/>
      <c r="I191" s="102" t="inlineStr"/>
      <c r="J191" s="101" t="inlineStr"/>
      <c r="K191" s="101" t="inlineStr"/>
      <c r="L191" s="104" t="n">
        <v>319.1</v>
      </c>
      <c r="M191" s="104" t="n">
        <v>302.6</v>
      </c>
      <c r="N191" s="105" t="n"/>
      <c r="O191" s="106" t="inlineStr">
        <is>
          <t>CF+</t>
        </is>
      </c>
      <c r="P191" s="107" t="inlineStr">
        <is>
          <t>✅ CF+</t>
        </is>
      </c>
      <c r="Q191" s="108">
        <f>IFERROR(L191-M191,"")</f>
        <v/>
      </c>
      <c r="R191" s="109" t="n">
        <v>20.9</v>
      </c>
      <c r="S191" s="109" t="n">
        <v>7.6</v>
      </c>
      <c r="T191" s="110" t="inlineStr">
        <is>
          <t>Amarin Corporation plc, a pharmaceutical company, engages in the commercialization and development of therapeutics for the treatment of cardiovascular diseases in the United States, Europe, and intern</t>
        </is>
      </c>
    </row>
    <row r="192" ht="30" customHeight="1" s="89">
      <c r="A192" s="111" t="inlineStr">
        <is>
          <t>PBYI</t>
        </is>
      </c>
      <c r="B192" s="112" t="inlineStr">
        <is>
          <t>Puma Biotechnology, Inc.</t>
        </is>
      </c>
      <c r="C192" s="113" t="inlineStr">
        <is>
          <t>NASDAQ</t>
        </is>
      </c>
      <c r="D192" s="174" t="inlineStr">
        <is>
          <t>Oncology</t>
        </is>
      </c>
      <c r="E192" s="112" t="inlineStr">
        <is>
          <t>HER2+ Metastatic Breast Cancer (MBC)</t>
        </is>
      </c>
      <c r="F192" s="171" t="inlineStr">
        <is>
          <t>Small Molecule</t>
        </is>
      </c>
      <c r="G192" s="112" t="inlineStr">
        <is>
          <t>neratinib</t>
        </is>
      </c>
      <c r="H192" s="172" t="inlineStr">
        <is>
          <t>Phase 3</t>
        </is>
      </c>
      <c r="I192" s="113" t="inlineStr">
        <is>
          <t>Sep 2018</t>
        </is>
      </c>
      <c r="J192" s="112" t="inlineStr">
        <is>
          <t>Phase 3 Data Readout</t>
        </is>
      </c>
      <c r="K192" s="112" t="inlineStr"/>
      <c r="L192" s="115" t="n">
        <v>300.2</v>
      </c>
      <c r="M192" s="115" t="n">
        <v>97.5</v>
      </c>
      <c r="N192" s="116" t="n"/>
      <c r="O192" s="117" t="inlineStr">
        <is>
          <t>CF+</t>
        </is>
      </c>
      <c r="P192" s="118" t="inlineStr">
        <is>
          <t>✅ CF+</t>
        </is>
      </c>
      <c r="Q192" s="119">
        <f>IFERROR(L192-M192,"")</f>
        <v/>
      </c>
      <c r="R192" s="120" t="n">
        <v>7.68</v>
      </c>
      <c r="S192" s="120" t="n">
        <v>2.58</v>
      </c>
      <c r="T192" s="121" t="inlineStr">
        <is>
          <t xml:space="preserve">Puma Biotechnology, Inc., a biopharmaceutical company, focuses on the development and commercialization of products to enhance cancer care in the United States and internationally. It offers NERLYNX, </t>
        </is>
      </c>
    </row>
    <row r="193" ht="30" customHeight="1" s="89">
      <c r="A193" s="100" t="inlineStr">
        <is>
          <t>TARA</t>
        </is>
      </c>
      <c r="B193" s="101" t="inlineStr">
        <is>
          <t>Protara Therapeutics, Inc.</t>
        </is>
      </c>
      <c r="C193" s="102" t="inlineStr">
        <is>
          <t>NGM</t>
        </is>
      </c>
      <c r="D193" s="103" t="inlineStr"/>
      <c r="E193" s="101" t="inlineStr"/>
      <c r="F193" s="103" t="inlineStr"/>
      <c r="G193" s="101" t="inlineStr"/>
      <c r="H193" s="103" t="inlineStr"/>
      <c r="I193" s="102" t="inlineStr"/>
      <c r="J193" s="101" t="inlineStr"/>
      <c r="K193" s="101" t="inlineStr"/>
      <c r="L193" s="104" t="n">
        <v>281.9</v>
      </c>
      <c r="M193" s="104" t="n">
        <v>155.6</v>
      </c>
      <c r="N193" s="123" t="n">
        <v>12.4</v>
      </c>
      <c r="O193" s="106">
        <f>IFERROR(ROUND(M193/N193,1),"")</f>
        <v/>
      </c>
      <c r="P193" s="107">
        <f>IFERROR(IF(O193="CF+","✅ CF+",IF(O193&lt;4,"🔴 &lt;4Q",IF(O193&lt;8,"🟡 4-8Q","🟢 &gt;8Q"))),"—")</f>
        <v/>
      </c>
      <c r="Q193" s="108">
        <f>IFERROR(L193-M193,"")</f>
        <v/>
      </c>
      <c r="R193" s="109" t="n">
        <v>7.82</v>
      </c>
      <c r="S193" s="109" t="n">
        <v>2.77</v>
      </c>
      <c r="T193" s="110" t="inlineStr">
        <is>
          <t>Protara Therapeutics, Inc., a clinical-stage biopharmaceutical company, engages in advancing transformative therapies for the treatment of cancer and rare diseases. The company's lead program is TARA-</t>
        </is>
      </c>
    </row>
    <row r="194" ht="30" customHeight="1" s="89">
      <c r="A194" s="111" t="inlineStr">
        <is>
          <t>VYGR</t>
        </is>
      </c>
      <c r="B194" s="112" t="inlineStr">
        <is>
          <t>Voyager Therapeutics, Inc.</t>
        </is>
      </c>
      <c r="C194" s="113" t="inlineStr">
        <is>
          <t>NASDAQ</t>
        </is>
      </c>
      <c r="D194" s="177" t="inlineStr">
        <is>
          <t>CNS</t>
        </is>
      </c>
      <c r="E194" s="112" t="inlineStr">
        <is>
          <t>Parkinson's Disease</t>
        </is>
      </c>
      <c r="F194" s="173" t="inlineStr">
        <is>
          <t>Monoclonal Ab (mAb)</t>
        </is>
      </c>
      <c r="G194" s="112" t="inlineStr">
        <is>
          <t>VY-AADC01</t>
        </is>
      </c>
      <c r="H194" s="174" t="inlineStr">
        <is>
          <t>Phase 1</t>
        </is>
      </c>
      <c r="I194" s="113" t="inlineStr">
        <is>
          <t>Jan 2020</t>
        </is>
      </c>
      <c r="J194" s="112" t="inlineStr">
        <is>
          <t>Phase 1 Data / Dose Escalation</t>
        </is>
      </c>
      <c r="K194" s="112" t="inlineStr">
        <is>
          <t>University of California, San Francisco; Veristat, Inc.; Feinstein Institute for Medical Research</t>
        </is>
      </c>
      <c r="L194" s="115" t="n">
        <v>265.5</v>
      </c>
      <c r="M194" s="115" t="n">
        <v>196.4</v>
      </c>
      <c r="N194" s="122" t="n">
        <v>30.7</v>
      </c>
      <c r="O194" s="117">
        <f>IFERROR(ROUND(M194/N194,1),"")</f>
        <v/>
      </c>
      <c r="P194" s="118">
        <f>IFERROR(IF(O194="CF+","✅ CF+",IF(O194&lt;4,"🔴 &lt;4Q",IF(O194&lt;8,"🟡 4-8Q","🟢 &gt;8Q"))),"—")</f>
        <v/>
      </c>
      <c r="Q194" s="119">
        <f>IFERROR(L194-M194,"")</f>
        <v/>
      </c>
      <c r="R194" s="120" t="n">
        <v>5.55</v>
      </c>
      <c r="S194" s="120" t="n">
        <v>2.65</v>
      </c>
      <c r="T194" s="121" t="inlineStr">
        <is>
          <t>Voyager Therapeutics, Inc., a biotechnology company, focuses on the human genetics for the cure of neurological diseases. Its product pipeline includes VY1706, a tau silencing gene therapy and VY7523,</t>
        </is>
      </c>
    </row>
    <row r="195" ht="30" customHeight="1" s="89">
      <c r="A195" s="100" t="inlineStr">
        <is>
          <t>CCCC</t>
        </is>
      </c>
      <c r="B195" s="101" t="inlineStr">
        <is>
          <t>C4 Therapeutics, Inc.</t>
        </is>
      </c>
      <c r="C195" s="102" t="inlineStr">
        <is>
          <t>NASDAQ</t>
        </is>
      </c>
      <c r="D195" s="174" t="inlineStr">
        <is>
          <t>Oncology</t>
        </is>
      </c>
      <c r="E195" s="101" t="inlineStr">
        <is>
          <t>Multiple Myeloma</t>
        </is>
      </c>
      <c r="F195" s="171" t="inlineStr">
        <is>
          <t>Small Molecule</t>
        </is>
      </c>
      <c r="G195" s="101" t="inlineStr">
        <is>
          <t>Cemsidomide</t>
        </is>
      </c>
      <c r="H195" s="168" t="inlineStr">
        <is>
          <t>Phase 2</t>
        </is>
      </c>
      <c r="I195" s="102" t="inlineStr">
        <is>
          <t>Mar 2030</t>
        </is>
      </c>
      <c r="J195" s="101" t="inlineStr">
        <is>
          <t>Phase 2 Data Readout</t>
        </is>
      </c>
      <c r="K195" s="101" t="inlineStr"/>
      <c r="L195" s="104" t="n">
        <v>265.4</v>
      </c>
      <c r="M195" s="104" t="n">
        <v>248.5</v>
      </c>
      <c r="N195" s="123" t="n">
        <v>26.7</v>
      </c>
      <c r="O195" s="106">
        <f>IFERROR(ROUND(M195/N195,1),"")</f>
        <v/>
      </c>
      <c r="P195" s="107">
        <f>IFERROR(IF(O195="CF+","✅ CF+",IF(O195&lt;4,"🔴 &lt;4Q",IF(O195&lt;8,"🟡 4-8Q","🟢 &gt;8Q"))),"—")</f>
        <v/>
      </c>
      <c r="Q195" s="108">
        <f>IFERROR(L195-M195,"")</f>
        <v/>
      </c>
      <c r="R195" s="109" t="n">
        <v>3.82</v>
      </c>
      <c r="S195" s="109" t="n">
        <v>1.08</v>
      </c>
      <c r="T195" s="110" t="inlineStr">
        <is>
          <t>C4 Therapeutics, Inc., a clinical-stage biopharmaceutical company, develops novel therapeutic candidates to degrade disease-causing proteins. Its lead product candidate is Cemsidomide, an orally bioav</t>
        </is>
      </c>
    </row>
    <row r="196" ht="30" customHeight="1" s="89">
      <c r="A196" s="111" t="inlineStr">
        <is>
          <t>FENC</t>
        </is>
      </c>
      <c r="B196" s="112" t="inlineStr">
        <is>
          <t>Fennec Pharmaceuticals Inc.</t>
        </is>
      </c>
      <c r="C196" s="113" t="inlineStr">
        <is>
          <t>NASDAQ</t>
        </is>
      </c>
      <c r="D196" s="114" t="inlineStr"/>
      <c r="E196" s="112" t="inlineStr"/>
      <c r="F196" s="114" t="inlineStr"/>
      <c r="G196" s="112" t="inlineStr"/>
      <c r="H196" s="114" t="inlineStr"/>
      <c r="I196" s="113" t="inlineStr"/>
      <c r="J196" s="112" t="inlineStr"/>
      <c r="K196" s="112" t="inlineStr"/>
      <c r="L196" s="115" t="n">
        <v>256.8</v>
      </c>
      <c r="M196" s="115" t="n">
        <v>21.9</v>
      </c>
      <c r="N196" s="122" t="n">
        <v>1.1</v>
      </c>
      <c r="O196" s="117">
        <f>IFERROR(ROUND(M196/N196,1),"")</f>
        <v/>
      </c>
      <c r="P196" s="118">
        <f>IFERROR(IF(O196="CF+","✅ CF+",IF(O196&lt;4,"🔴 &lt;4Q",IF(O196&lt;8,"🟡 4-8Q","🟢 &gt;8Q"))),"—")</f>
        <v/>
      </c>
      <c r="Q196" s="119">
        <f>IFERROR(L196-M196,"")</f>
        <v/>
      </c>
      <c r="R196" s="120" t="n">
        <v>9.92</v>
      </c>
      <c r="S196" s="120" t="n">
        <v>4.68</v>
      </c>
      <c r="T196" s="121" t="inlineStr">
        <is>
          <t>Fennec Pharmaceuticals Inc. operates as a commercial stage biopharmaceutical company in the United States. The company's product candidate includes PEDMARK, a formulation of sodium thiosulfate for the</t>
        </is>
      </c>
    </row>
    <row r="197" ht="30" customHeight="1" s="89">
      <c r="A197" s="100" t="inlineStr">
        <is>
          <t>ALDX</t>
        </is>
      </c>
      <c r="B197" s="101" t="inlineStr">
        <is>
          <t>Aldeyra Therapeutics, Inc.</t>
        </is>
      </c>
      <c r="C197" s="102" t="inlineStr">
        <is>
          <t>NASDAQ</t>
        </is>
      </c>
      <c r="D197" s="174" t="inlineStr">
        <is>
          <t>Oncology</t>
        </is>
      </c>
      <c r="E197" s="101" t="inlineStr">
        <is>
          <t>Primary Vitreoretinal Lymphoma</t>
        </is>
      </c>
      <c r="F197" s="171" t="inlineStr">
        <is>
          <t>Small Molecule</t>
        </is>
      </c>
      <c r="G197" s="101" t="inlineStr">
        <is>
          <t>ICM ADX-2191 injection</t>
        </is>
      </c>
      <c r="H197" s="172" t="inlineStr">
        <is>
          <t>Phase 3</t>
        </is>
      </c>
      <c r="I197" s="102" t="inlineStr">
        <is>
          <t>Dec 2026</t>
        </is>
      </c>
      <c r="J197" s="101" t="inlineStr">
        <is>
          <t>Phase 3 Readout</t>
        </is>
      </c>
      <c r="K197" s="101" t="inlineStr"/>
      <c r="L197" s="104" t="n">
        <v>248.3</v>
      </c>
      <c r="M197" s="104" t="n">
        <v>70</v>
      </c>
      <c r="N197" s="123" t="n">
        <v>6.2</v>
      </c>
      <c r="O197" s="106">
        <f>IFERROR(ROUND(M197/N197,1),"")</f>
        <v/>
      </c>
      <c r="P197" s="107">
        <f>IFERROR(IF(O197="CF+","✅ CF+",IF(O197&lt;4,"🔴 &lt;4Q",IF(O197&lt;8,"🟡 4-8Q","🟢 &gt;8Q"))),"—")</f>
        <v/>
      </c>
      <c r="Q197" s="108">
        <f>IFERROR(L197-M197,"")</f>
        <v/>
      </c>
      <c r="R197" s="109" t="n">
        <v>7.01</v>
      </c>
      <c r="S197" s="109" t="n">
        <v>1.14</v>
      </c>
      <c r="T197" s="110" t="inlineStr">
        <is>
          <t xml:space="preserve">Aldeyra Therapeutics, Inc., a biotechnology company, discovers and develops therapies designed to treat immune-mediated diseases. Its lead product candidate is reproxalap, a reactive aldehyde species </t>
        </is>
      </c>
    </row>
    <row r="198" ht="30" customHeight="1" s="89">
      <c r="A198" s="111" t="inlineStr">
        <is>
          <t>RZLT</t>
        </is>
      </c>
      <c r="B198" s="112" t="inlineStr">
        <is>
          <t>Rezolute, Inc.</t>
        </is>
      </c>
      <c r="C198" s="113" t="inlineStr">
        <is>
          <t>NASDAQ</t>
        </is>
      </c>
      <c r="D198" s="114" t="inlineStr"/>
      <c r="E198" s="112" t="inlineStr"/>
      <c r="F198" s="114" t="inlineStr"/>
      <c r="G198" s="112" t="inlineStr"/>
      <c r="H198" s="114" t="inlineStr"/>
      <c r="I198" s="113" t="inlineStr"/>
      <c r="J198" s="112" t="inlineStr"/>
      <c r="K198" s="112" t="inlineStr"/>
      <c r="L198" s="115" t="n">
        <v>248.3</v>
      </c>
      <c r="M198" s="115" t="n">
        <v>132.9</v>
      </c>
      <c r="N198" s="122" t="n">
        <v>18.9</v>
      </c>
      <c r="O198" s="117">
        <f>IFERROR(ROUND(M198/N198,1),"")</f>
        <v/>
      </c>
      <c r="P198" s="118">
        <f>IFERROR(IF(O198="CF+","✅ CF+",IF(O198&lt;4,"🔴 &lt;4Q",IF(O198&lt;8,"🟡 4-8Q","🟢 &gt;8Q"))),"—")</f>
        <v/>
      </c>
      <c r="Q198" s="119">
        <f>IFERROR(L198-M198,"")</f>
        <v/>
      </c>
      <c r="R198" s="120" t="n">
        <v>11.46</v>
      </c>
      <c r="S198" s="120" t="n">
        <v>1.07</v>
      </c>
      <c r="T198" s="121" t="inlineStr">
        <is>
          <t>Rezolute, Inc., a late-stage rare disease company, focused on improving outcomes for individuals with hypoglycemia caused by hyperinsulinism in the United States. Its lead clinical asset is ersodetug,</t>
        </is>
      </c>
    </row>
    <row r="199" ht="30" customHeight="1" s="89">
      <c r="A199" s="100" t="inlineStr">
        <is>
          <t>CHRS</t>
        </is>
      </c>
      <c r="B199" s="101" t="inlineStr">
        <is>
          <t>Coherus Oncology, Inc.</t>
        </is>
      </c>
      <c r="C199" s="102" t="inlineStr">
        <is>
          <t>NGM</t>
        </is>
      </c>
      <c r="D199" s="178" t="inlineStr">
        <is>
          <t>Immunology</t>
        </is>
      </c>
      <c r="E199" s="101" t="inlineStr">
        <is>
          <t>Rheumatoid Arthritis</t>
        </is>
      </c>
      <c r="F199" s="171" t="inlineStr">
        <is>
          <t>Small Molecule</t>
        </is>
      </c>
      <c r="G199" s="101" t="inlineStr">
        <is>
          <t>Etanercept</t>
        </is>
      </c>
      <c r="H199" s="172" t="inlineStr">
        <is>
          <t>Phase 3</t>
        </is>
      </c>
      <c r="I199" s="102" t="inlineStr">
        <is>
          <t>Oct 2015</t>
        </is>
      </c>
      <c r="J199" s="101" t="inlineStr">
        <is>
          <t>Phase 3 Data Readout</t>
        </is>
      </c>
      <c r="K199" s="101" t="inlineStr">
        <is>
          <t>Daiichi Sankyo Co., Ltd.</t>
        </is>
      </c>
      <c r="L199" s="104" t="n">
        <v>244.3</v>
      </c>
      <c r="M199" s="104" t="n">
        <v>172.1</v>
      </c>
      <c r="N199" s="123" t="n">
        <v>33</v>
      </c>
      <c r="O199" s="106">
        <f>IFERROR(ROUND(M199/N199,1),"")</f>
        <v/>
      </c>
      <c r="P199" s="107">
        <f>IFERROR(IF(O199="CF+","✅ CF+",IF(O199&lt;4,"🔴 &lt;4Q",IF(O199&lt;8,"🟡 4-8Q","🟢 &gt;8Q"))),"—")</f>
        <v/>
      </c>
      <c r="Q199" s="108">
        <f>IFERROR(L199-M199,"")</f>
        <v/>
      </c>
      <c r="R199" s="109" t="n">
        <v>2.62</v>
      </c>
      <c r="S199" s="109" t="n">
        <v>0.71</v>
      </c>
      <c r="T199" s="110" t="inlineStr">
        <is>
          <t>Coherus Oncology, Inc., a biopharmaceutical company, researches, develops, and commercializes immunotherapies to treat cancer in the United States. The company develops UDENYCA, a biosimilar to Neulas</t>
        </is>
      </c>
    </row>
    <row r="200" ht="30" customHeight="1" s="89">
      <c r="A200" s="111" t="inlineStr">
        <is>
          <t>ALEC</t>
        </is>
      </c>
      <c r="B200" s="112" t="inlineStr">
        <is>
          <t>Alector, Inc.</t>
        </is>
      </c>
      <c r="C200" s="113" t="inlineStr">
        <is>
          <t>NASDAQ</t>
        </is>
      </c>
      <c r="D200" s="177" t="inlineStr">
        <is>
          <t>CNS</t>
        </is>
      </c>
      <c r="E200" s="112" t="inlineStr">
        <is>
          <t>Alzheimer's Disease</t>
        </is>
      </c>
      <c r="F200" s="171" t="inlineStr">
        <is>
          <t>Small Molecule</t>
        </is>
      </c>
      <c r="G200" s="112" t="inlineStr">
        <is>
          <t>GSK4527226</t>
        </is>
      </c>
      <c r="H200" s="168" t="inlineStr">
        <is>
          <t>Phase 2</t>
        </is>
      </c>
      <c r="I200" s="113" t="inlineStr">
        <is>
          <t>Sep 2028</t>
        </is>
      </c>
      <c r="J200" s="112" t="inlineStr">
        <is>
          <t>Phase 2 Data Readout</t>
        </is>
      </c>
      <c r="K200" s="112" t="inlineStr">
        <is>
          <t>Alector Inc.</t>
        </is>
      </c>
      <c r="L200" s="115" t="n">
        <v>242.8</v>
      </c>
      <c r="M200" s="115" t="n">
        <v>256</v>
      </c>
      <c r="N200" s="122" t="n">
        <v>37.1</v>
      </c>
      <c r="O200" s="117">
        <f>IFERROR(ROUND(M200/N200,1),"")</f>
        <v/>
      </c>
      <c r="P200" s="118">
        <f>IFERROR(IF(O200="CF+","✅ CF+",IF(O200&lt;4,"🔴 &lt;4Q",IF(O200&lt;8,"🟡 4-8Q","🟢 &gt;8Q"))),"—")</f>
        <v/>
      </c>
      <c r="Q200" s="119">
        <f>IFERROR(L200-M200,"")</f>
        <v/>
      </c>
      <c r="R200" s="120" t="n">
        <v>3.4</v>
      </c>
      <c r="S200" s="120" t="n">
        <v>0.87</v>
      </c>
      <c r="T200" s="121" t="inlineStr">
        <is>
          <t>Alector, Inc., a clinical stage biotechnology company, develops therapies to counteract the progression of neurodegeneration in the United States. Its pipeline includes Nivisnebart, an investigational</t>
        </is>
      </c>
    </row>
    <row r="201" ht="30" customHeight="1" s="89">
      <c r="A201" s="100" t="inlineStr">
        <is>
          <t>IKT</t>
        </is>
      </c>
      <c r="B201" s="101" t="inlineStr">
        <is>
          <t>Inhibikase Therapeutics, Inc.</t>
        </is>
      </c>
      <c r="C201" s="102" t="inlineStr">
        <is>
          <t>NASDAQ</t>
        </is>
      </c>
      <c r="D201" s="103" t="inlineStr"/>
      <c r="E201" s="101" t="inlineStr"/>
      <c r="F201" s="103" t="inlineStr"/>
      <c r="G201" s="101" t="inlineStr"/>
      <c r="H201" s="103" t="inlineStr"/>
      <c r="I201" s="102" t="inlineStr"/>
      <c r="J201" s="101" t="inlineStr"/>
      <c r="K201" s="101" t="inlineStr"/>
      <c r="L201" s="104" t="n">
        <v>242.5</v>
      </c>
      <c r="M201" s="104" t="n">
        <v>77.3</v>
      </c>
      <c r="N201" s="123" t="n">
        <v>8.1</v>
      </c>
      <c r="O201" s="106">
        <f>IFERROR(ROUND(M201/N201,1),"")</f>
        <v/>
      </c>
      <c r="P201" s="107">
        <f>IFERROR(IF(O201="CF+","✅ CF+",IF(O201&lt;4,"🔴 &lt;4Q",IF(O201&lt;8,"🟡 4-8Q","🟢 &gt;8Q"))),"—")</f>
        <v/>
      </c>
      <c r="Q201" s="108">
        <f>IFERROR(L201-M201,"")</f>
        <v/>
      </c>
      <c r="R201" s="109" t="n">
        <v>2.58</v>
      </c>
      <c r="S201" s="109" t="n">
        <v>1.33</v>
      </c>
      <c r="T201" s="110" t="inlineStr">
        <is>
          <t xml:space="preserve">Inhibikase Therapeutics, Inc. operates as a clinical-stage pharmaceutical company that develops therapeutics for Parkinson's disease and related disorders. Its lead product candidate is IkT-148009, a </t>
        </is>
      </c>
    </row>
    <row r="202" ht="30" customHeight="1" s="89">
      <c r="A202" s="111" t="inlineStr">
        <is>
          <t>EDIT</t>
        </is>
      </c>
      <c r="B202" s="112" t="inlineStr">
        <is>
          <t>Editas Medicine, Inc.</t>
        </is>
      </c>
      <c r="C202" s="113" t="inlineStr">
        <is>
          <t>NASDAQ</t>
        </is>
      </c>
      <c r="D202" s="172" t="inlineStr">
        <is>
          <t>Rare Disease</t>
        </is>
      </c>
      <c r="E202" s="112" t="inlineStr">
        <is>
          <t>Sickle Cell Disease</t>
        </is>
      </c>
      <c r="F202" s="182" t="inlineStr">
        <is>
          <t>Gene Therapy</t>
        </is>
      </c>
      <c r="G202" s="112" t="inlineStr">
        <is>
          <t>EDIT-301</t>
        </is>
      </c>
      <c r="H202" s="176" t="inlineStr">
        <is>
          <t>Phase 1/2</t>
        </is>
      </c>
      <c r="I202" s="113" t="inlineStr">
        <is>
          <t>Aug 2025</t>
        </is>
      </c>
      <c r="J202" s="112" t="inlineStr">
        <is>
          <t>Phase 1/2 Data Readout</t>
        </is>
      </c>
      <c r="K202" s="112" t="inlineStr"/>
      <c r="L202" s="115" t="n">
        <v>238.8</v>
      </c>
      <c r="M202" s="115" t="n">
        <v>146.6</v>
      </c>
      <c r="N202" s="122" t="n">
        <v>33.6</v>
      </c>
      <c r="O202" s="117">
        <f>IFERROR(ROUND(M202/N202,1),"")</f>
        <v/>
      </c>
      <c r="P202" s="118">
        <f>IFERROR(IF(O202="CF+","✅ CF+",IF(O202&lt;4,"🔴 &lt;4Q",IF(O202&lt;8,"🟡 4-8Q","🟢 &gt;8Q"))),"—")</f>
        <v/>
      </c>
      <c r="Q202" s="119">
        <f>IFERROR(L202-M202,"")</f>
        <v/>
      </c>
      <c r="R202" s="120" t="n">
        <v>4.54</v>
      </c>
      <c r="S202" s="120" t="n">
        <v>0.91</v>
      </c>
      <c r="T202" s="121" t="inlineStr">
        <is>
          <t>Editas Medicine, Inc., a clinical stage genome editing company, focuses on developing transformative genomic medicines to treat a range of serious diseases. The company develops a proprietary gene edi</t>
        </is>
      </c>
    </row>
    <row r="203" ht="30" customHeight="1" s="89">
      <c r="A203" s="100" t="inlineStr">
        <is>
          <t>PLX</t>
        </is>
      </c>
      <c r="B203" s="101" t="inlineStr">
        <is>
          <t>Protalix BioTherapeutics, Inc.</t>
        </is>
      </c>
      <c r="C203" s="102" t="inlineStr">
        <is>
          <t>NYSE American</t>
        </is>
      </c>
      <c r="D203" s="103" t="inlineStr"/>
      <c r="E203" s="101" t="inlineStr"/>
      <c r="F203" s="103" t="inlineStr"/>
      <c r="G203" s="101" t="inlineStr"/>
      <c r="H203" s="103" t="inlineStr"/>
      <c r="I203" s="102" t="inlineStr"/>
      <c r="J203" s="101" t="inlineStr"/>
      <c r="K203" s="101" t="inlineStr"/>
      <c r="L203" s="104" t="n">
        <v>227.6</v>
      </c>
      <c r="M203" s="104" t="n">
        <v>29.4</v>
      </c>
      <c r="N203" s="123" t="n">
        <v>4.5</v>
      </c>
      <c r="O203" s="106">
        <f>IFERROR(ROUND(M203/N203,1),"")</f>
        <v/>
      </c>
      <c r="P203" s="107">
        <f>IFERROR(IF(O203="CF+","✅ CF+",IF(O203&lt;4,"🔴 &lt;4Q",IF(O203&lt;8,"🟡 4-8Q","🟢 &gt;8Q"))),"—")</f>
        <v/>
      </c>
      <c r="Q203" s="108">
        <f>IFERROR(L203-M203,"")</f>
        <v/>
      </c>
      <c r="R203" s="109" t="n">
        <v>3.19</v>
      </c>
      <c r="S203" s="109" t="n">
        <v>1.32</v>
      </c>
      <c r="T203" s="110" t="inlineStr">
        <is>
          <t>Protalix BioTherapeutics, Inc., a biopharmaceutical company, engages in the development, production, and commercialization of recombinant therapeutic proteins based on the ProCellEx plant cell-based p</t>
        </is>
      </c>
    </row>
    <row r="204" ht="30" customHeight="1" s="89">
      <c r="A204" s="111" t="inlineStr">
        <is>
          <t>MASS</t>
        </is>
      </c>
      <c r="B204" s="112" t="inlineStr">
        <is>
          <t>908 Devices Inc.</t>
        </is>
      </c>
      <c r="C204" s="113" t="inlineStr">
        <is>
          <t>NGM</t>
        </is>
      </c>
      <c r="D204" s="114" t="inlineStr"/>
      <c r="E204" s="112" t="inlineStr"/>
      <c r="F204" s="114" t="inlineStr"/>
      <c r="G204" s="112" t="inlineStr"/>
      <c r="H204" s="114" t="inlineStr"/>
      <c r="I204" s="113" t="inlineStr"/>
      <c r="J204" s="112" t="inlineStr"/>
      <c r="K204" s="112" t="inlineStr"/>
      <c r="L204" s="115" t="n">
        <v>219.7</v>
      </c>
      <c r="M204" s="115" t="n">
        <v>113</v>
      </c>
      <c r="N204" s="122" t="n">
        <v>5</v>
      </c>
      <c r="O204" s="117">
        <f>IFERROR(ROUND(M204/N204,1),"")</f>
        <v/>
      </c>
      <c r="P204" s="118">
        <f>IFERROR(IF(O204="CF+","✅ CF+",IF(O204&lt;4,"🔴 &lt;4Q",IF(O204&lt;8,"🟡 4-8Q","🟢 &gt;8Q"))),"—")</f>
        <v/>
      </c>
      <c r="Q204" s="119">
        <f>IFERROR(L204-M204,"")</f>
        <v/>
      </c>
      <c r="R204" s="120" t="n">
        <v>9.34</v>
      </c>
      <c r="S204" s="120" t="n">
        <v>3.55</v>
      </c>
      <c r="T204" s="121" t="inlineStr">
        <is>
          <t xml:space="preserve">908 Devices Inc. provides purpose-built handheld mass spectrometry and fourier transform infrared (FTIR) devices for use in vital health and safety applications. The company's products include MX908, </t>
        </is>
      </c>
    </row>
    <row r="205" ht="30" customHeight="1" s="89">
      <c r="A205" s="100" t="inlineStr">
        <is>
          <t>GENC</t>
        </is>
      </c>
      <c r="B205" s="101" t="inlineStr">
        <is>
          <t>Gencor Industries, Inc.</t>
        </is>
      </c>
      <c r="C205" s="102" t="inlineStr">
        <is>
          <t>NYSE American</t>
        </is>
      </c>
      <c r="D205" s="103" t="inlineStr"/>
      <c r="E205" s="101" t="inlineStr"/>
      <c r="F205" s="103" t="inlineStr"/>
      <c r="G205" s="101" t="inlineStr"/>
      <c r="H205" s="103" t="inlineStr"/>
      <c r="I205" s="102" t="inlineStr"/>
      <c r="J205" s="101" t="inlineStr"/>
      <c r="K205" s="101" t="inlineStr"/>
      <c r="L205" s="104" t="n">
        <v>215</v>
      </c>
      <c r="M205" s="104" t="n">
        <v>147.7</v>
      </c>
      <c r="N205" s="123" t="n">
        <v>0.2</v>
      </c>
      <c r="O205" s="106">
        <f>IFERROR(ROUND(M205/N205,1),"")</f>
        <v/>
      </c>
      <c r="P205" s="107">
        <f>IFERROR(IF(O205="CF+","✅ CF+",IF(O205&lt;4,"🔴 &lt;4Q",IF(O205&lt;8,"🟡 4-8Q","🟢 &gt;8Q"))),"—")</f>
        <v/>
      </c>
      <c r="Q205" s="108">
        <f>IFERROR(L205-M205,"")</f>
        <v/>
      </c>
      <c r="R205" s="109" t="n">
        <v>17.4</v>
      </c>
      <c r="S205" s="109" t="n">
        <v>10.8</v>
      </c>
      <c r="T205" s="110" t="inlineStr">
        <is>
          <t>Gencor Industries, Inc., together with its subsidiaries, engages in the design, manufacture, and sale of heavy machinery used in the production of highway construction materials and environmental cont</t>
        </is>
      </c>
    </row>
    <row r="206" ht="30" customHeight="1" s="89">
      <c r="A206" s="111" t="inlineStr">
        <is>
          <t>PRLD</t>
        </is>
      </c>
      <c r="B206" s="112" t="inlineStr">
        <is>
          <t>Prelude Therapeutics Incorporated</t>
        </is>
      </c>
      <c r="C206" s="113" t="inlineStr">
        <is>
          <t>NASDAQ</t>
        </is>
      </c>
      <c r="D206" s="114" t="inlineStr"/>
      <c r="E206" s="112" t="inlineStr"/>
      <c r="F206" s="114" t="inlineStr"/>
      <c r="G206" s="112" t="inlineStr"/>
      <c r="H206" s="114" t="inlineStr"/>
      <c r="I206" s="113" t="inlineStr"/>
      <c r="J206" s="112" t="inlineStr"/>
      <c r="K206" s="112" t="inlineStr"/>
      <c r="L206" s="115" t="n">
        <v>207.5</v>
      </c>
      <c r="M206" s="115" t="n">
        <v>103.2</v>
      </c>
      <c r="N206" s="122" t="n">
        <v>22.6</v>
      </c>
      <c r="O206" s="117">
        <f>IFERROR(ROUND(M206/N206,1),"")</f>
        <v/>
      </c>
      <c r="P206" s="118">
        <f>IFERROR(IF(O206="CF+","✅ CF+",IF(O206&lt;4,"🔴 &lt;4Q",IF(O206&lt;8,"🟡 4-8Q","🟢 &gt;8Q"))),"—")</f>
        <v/>
      </c>
      <c r="Q206" s="119">
        <f>IFERROR(L206-M206,"")</f>
        <v/>
      </c>
      <c r="R206" s="120" t="n">
        <v>4.22</v>
      </c>
      <c r="S206" s="120" t="n">
        <v>0.61</v>
      </c>
      <c r="T206" s="121" t="inlineStr">
        <is>
          <t>Prelude Therapeutics Incorporated, a clinical-stage precision oncology company, focuses on the discovery and development of novel precision cancer medicines to underserved patients. It is developing J</t>
        </is>
      </c>
    </row>
    <row r="207" ht="30" customHeight="1" s="89">
      <c r="A207" s="100" t="inlineStr">
        <is>
          <t>TPVG</t>
        </is>
      </c>
      <c r="B207" s="101" t="inlineStr">
        <is>
          <t>TriplePoint Venture Growth BDC Corp.</t>
        </is>
      </c>
      <c r="C207" s="102" t="inlineStr">
        <is>
          <t>NYSE</t>
        </is>
      </c>
      <c r="D207" s="103" t="inlineStr"/>
      <c r="E207" s="101" t="inlineStr"/>
      <c r="F207" s="103" t="inlineStr"/>
      <c r="G207" s="101" t="inlineStr"/>
      <c r="H207" s="103" t="inlineStr"/>
      <c r="I207" s="102" t="inlineStr"/>
      <c r="J207" s="101" t="inlineStr"/>
      <c r="K207" s="101" t="inlineStr"/>
      <c r="L207" s="104" t="n">
        <v>205.6</v>
      </c>
      <c r="M207" s="104" t="n">
        <v>20.4</v>
      </c>
      <c r="N207" s="123" t="n">
        <v>41.4</v>
      </c>
      <c r="O207" s="106">
        <f>IFERROR(ROUND(M207/N207,1),"")</f>
        <v/>
      </c>
      <c r="P207" s="107">
        <f>IFERROR(IF(O207="CF+","✅ CF+",IF(O207&lt;4,"🔴 &lt;4Q",IF(O207&lt;8,"🟡 4-8Q","🟢 &gt;8Q"))),"—")</f>
        <v/>
      </c>
      <c r="Q207" s="108">
        <f>IFERROR(L207-M207,"")</f>
        <v/>
      </c>
      <c r="R207" s="109" t="n">
        <v>7.53</v>
      </c>
      <c r="S207" s="109" t="n">
        <v>5.03</v>
      </c>
      <c r="T207" s="110" t="inlineStr">
        <is>
          <t xml:space="preserve">TriplePoint Venture Growth BDC Corp. is a business development company specializing investments in venture capital-backed companies at the growth stage investments. It also provides debt financing to </t>
        </is>
      </c>
    </row>
    <row r="208" ht="30" customHeight="1" s="89">
      <c r="A208" s="111" t="inlineStr">
        <is>
          <t>ANIK</t>
        </is>
      </c>
      <c r="B208" s="112" t="inlineStr">
        <is>
          <t>Anika Therapeutics, Inc.</t>
        </is>
      </c>
      <c r="C208" s="113" t="inlineStr">
        <is>
          <t>NASDAQ</t>
        </is>
      </c>
      <c r="D208" s="169" t="inlineStr">
        <is>
          <t>Other</t>
        </is>
      </c>
      <c r="E208" s="112" t="inlineStr">
        <is>
          <t>Knee Osteoarthritis</t>
        </is>
      </c>
      <c r="F208" s="171" t="inlineStr">
        <is>
          <t>Small Molecule</t>
        </is>
      </c>
      <c r="G208" s="112" t="inlineStr">
        <is>
          <t>Cingal</t>
        </is>
      </c>
      <c r="H208" s="172" t="inlineStr">
        <is>
          <t>Phase 3</t>
        </is>
      </c>
      <c r="I208" s="113" t="inlineStr">
        <is>
          <t>Jul 2018</t>
        </is>
      </c>
      <c r="J208" s="112" t="inlineStr">
        <is>
          <t>Phase 3 Data Readout</t>
        </is>
      </c>
      <c r="K208" s="112" t="inlineStr"/>
      <c r="L208" s="115" t="n">
        <v>204.8</v>
      </c>
      <c r="M208" s="115" t="n">
        <v>57.5</v>
      </c>
      <c r="N208" s="116" t="n"/>
      <c r="O208" s="117" t="inlineStr">
        <is>
          <t>CF+</t>
        </is>
      </c>
      <c r="P208" s="118" t="inlineStr">
        <is>
          <t>✅ CF+</t>
        </is>
      </c>
      <c r="Q208" s="119">
        <f>IFERROR(L208-M208,"")</f>
        <v/>
      </c>
      <c r="R208" s="120" t="n">
        <v>16.7</v>
      </c>
      <c r="S208" s="120" t="n">
        <v>7.87</v>
      </c>
      <c r="T208" s="121" t="inlineStr">
        <is>
          <t>Anika Therapeutics, Inc., a joint preservation company, focuses on early intervention orthopedics in the United States, Europe, and internationally. The company offers osteoarthritis (OA) pain managem</t>
        </is>
      </c>
    </row>
    <row r="209" ht="30" customHeight="1" s="89">
      <c r="A209" s="100" t="inlineStr">
        <is>
          <t>GALT</t>
        </is>
      </c>
      <c r="B209" s="101" t="inlineStr">
        <is>
          <t>Galectin Therapeutics Inc.</t>
        </is>
      </c>
      <c r="C209" s="102" t="inlineStr">
        <is>
          <t>NASDAQ</t>
        </is>
      </c>
      <c r="D209" s="178" t="inlineStr">
        <is>
          <t>Immunology</t>
        </is>
      </c>
      <c r="E209" s="101" t="inlineStr">
        <is>
          <t>Psoriasis</t>
        </is>
      </c>
      <c r="F209" s="171" t="inlineStr">
        <is>
          <t>Small Molecule</t>
        </is>
      </c>
      <c r="G209" s="101" t="inlineStr">
        <is>
          <t>GR-MD-02</t>
        </is>
      </c>
      <c r="H209" s="168" t="inlineStr">
        <is>
          <t>Phase 2</t>
        </is>
      </c>
      <c r="I209" s="102" t="inlineStr">
        <is>
          <t>Mar 2018</t>
        </is>
      </c>
      <c r="J209" s="101" t="inlineStr">
        <is>
          <t>Phase 2 Data Readout</t>
        </is>
      </c>
      <c r="K209" s="101" t="inlineStr"/>
      <c r="L209" s="104" t="n">
        <v>199.2</v>
      </c>
      <c r="M209" s="104" t="n">
        <v>11.5</v>
      </c>
      <c r="N209" s="123" t="n">
        <v>5.1</v>
      </c>
      <c r="O209" s="106">
        <f>IFERROR(ROUND(M209/N209,1),"")</f>
        <v/>
      </c>
      <c r="P209" s="107">
        <f>IFERROR(IF(O209="CF+","✅ CF+",IF(O209&lt;4,"🔴 &lt;4Q",IF(O209&lt;8,"🟡 4-8Q","🟢 &gt;8Q"))),"—")</f>
        <v/>
      </c>
      <c r="Q209" s="108">
        <f>IFERROR(L209-M209,"")</f>
        <v/>
      </c>
      <c r="R209" s="109" t="n">
        <v>7.13</v>
      </c>
      <c r="S209" s="109" t="n">
        <v>1.12</v>
      </c>
      <c r="T209" s="110" t="inlineStr">
        <is>
          <t xml:space="preserve">Galectin Therapeutics Inc., a clinical stage biopharmaceutical company, engages in the drug research and development to create new therapies for fibrotic, cancer, and other diseases. Its lead product </t>
        </is>
      </c>
    </row>
    <row r="210" ht="30" customHeight="1" s="89">
      <c r="A210" s="111" t="inlineStr">
        <is>
          <t>ABOS</t>
        </is>
      </c>
      <c r="B210" s="112" t="inlineStr">
        <is>
          <t>Acumen Pharmaceuticals, Inc.</t>
        </is>
      </c>
      <c r="C210" s="113" t="inlineStr">
        <is>
          <t>NASDAQ</t>
        </is>
      </c>
      <c r="D210" s="114" t="inlineStr"/>
      <c r="E210" s="112" t="inlineStr"/>
      <c r="F210" s="114" t="inlineStr"/>
      <c r="G210" s="112" t="inlineStr"/>
      <c r="H210" s="114" t="inlineStr"/>
      <c r="I210" s="113" t="inlineStr"/>
      <c r="J210" s="112" t="inlineStr"/>
      <c r="K210" s="112" t="inlineStr"/>
      <c r="L210" s="115" t="n">
        <v>198.1</v>
      </c>
      <c r="M210" s="115" t="n">
        <v>126.6</v>
      </c>
      <c r="N210" s="122" t="n">
        <v>31.2</v>
      </c>
      <c r="O210" s="117">
        <f>IFERROR(ROUND(M210/N210,1),"")</f>
        <v/>
      </c>
      <c r="P210" s="118">
        <f>IFERROR(IF(O210="CF+","✅ CF+",IF(O210&lt;4,"🔴 &lt;4Q",IF(O210&lt;8,"🟡 4-8Q","🟢 &gt;8Q"))),"—")</f>
        <v/>
      </c>
      <c r="Q210" s="119">
        <f>IFERROR(L210-M210,"")</f>
        <v/>
      </c>
      <c r="R210" s="120" t="n">
        <v>3.5</v>
      </c>
      <c r="S210" s="120" t="n">
        <v>0.85</v>
      </c>
      <c r="T210" s="121" t="inlineStr">
        <is>
          <t>Acumen Pharmaceuticals, Inc., a clinical-stage biopharmaceutical company, develops targeted therapies for the treatment of Alzheimer's disease. The company focuses on advancing a targeted immunotherap</t>
        </is>
      </c>
    </row>
    <row r="211" ht="30" customHeight="1" s="89">
      <c r="A211" s="100" t="inlineStr">
        <is>
          <t>SABS</t>
        </is>
      </c>
      <c r="B211" s="101" t="inlineStr">
        <is>
          <t>SAB Biotherapeutics, Inc.</t>
        </is>
      </c>
      <c r="C211" s="102" t="inlineStr">
        <is>
          <t>NASDAQ</t>
        </is>
      </c>
      <c r="D211" s="170" t="inlineStr">
        <is>
          <t>Infectious Disease</t>
        </is>
      </c>
      <c r="E211" s="101" t="inlineStr">
        <is>
          <t>Coronavirus</t>
        </is>
      </c>
      <c r="F211" s="173" t="inlineStr">
        <is>
          <t>Monoclonal Ab (mAb)</t>
        </is>
      </c>
      <c r="G211" s="101" t="inlineStr">
        <is>
          <t>bamlanivimab 7000mg</t>
        </is>
      </c>
      <c r="H211" s="172" t="inlineStr">
        <is>
          <t>Phase 2/3</t>
        </is>
      </c>
      <c r="I211" s="102" t="inlineStr">
        <is>
          <t>Apr 2022</t>
        </is>
      </c>
      <c r="J211" s="101" t="inlineStr">
        <is>
          <t>Phase 2 Data Readout</t>
        </is>
      </c>
      <c r="K211" s="101" t="inlineStr">
        <is>
          <t>Eli Lilly and Company; Advancing Clinical Therapeutics Globally for HIV/AIDS and Other Infections; Brii Biosciences Limited</t>
        </is>
      </c>
      <c r="L211" s="104" t="n">
        <v>197.6</v>
      </c>
      <c r="M211" s="104" t="n">
        <v>96.59999999999999</v>
      </c>
      <c r="N211" s="123" t="n">
        <v>10.1</v>
      </c>
      <c r="O211" s="106">
        <f>IFERROR(ROUND(M211/N211,1),"")</f>
        <v/>
      </c>
      <c r="P211" s="107">
        <f>IFERROR(IF(O211="CF+","✅ CF+",IF(O211&lt;4,"🔴 &lt;4Q",IF(O211&lt;8,"🟡 4-8Q","🟢 &gt;8Q"))),"—")</f>
        <v/>
      </c>
      <c r="Q211" s="108">
        <f>IFERROR(L211-M211,"")</f>
        <v/>
      </c>
      <c r="R211" s="109" t="n">
        <v>6.6</v>
      </c>
      <c r="S211" s="109" t="n">
        <v>1</v>
      </c>
      <c r="T211" s="110" t="inlineStr">
        <is>
          <t>SAB Biotherapeutics, Inc., a clinical-stage biopharmaceutical company, focuses on the development of human polyclonal immunotherapeutic antibodies to address immune system disorders and infectious dis</t>
        </is>
      </c>
    </row>
    <row r="212" ht="30" customHeight="1" s="89">
      <c r="A212" s="111" t="inlineStr">
        <is>
          <t>MGNX</t>
        </is>
      </c>
      <c r="B212" s="112" t="inlineStr">
        <is>
          <t>MacroGenics, Inc.</t>
        </is>
      </c>
      <c r="C212" s="113" t="inlineStr">
        <is>
          <t>NASDAQ</t>
        </is>
      </c>
      <c r="D212" s="174" t="inlineStr">
        <is>
          <t>Oncology</t>
        </is>
      </c>
      <c r="E212" s="112" t="inlineStr">
        <is>
          <t>Advanced Solid Tumor</t>
        </is>
      </c>
      <c r="F212" s="171" t="inlineStr">
        <is>
          <t>Small Molecule</t>
        </is>
      </c>
      <c r="G212" s="112" t="inlineStr">
        <is>
          <t>IMGC936</t>
        </is>
      </c>
      <c r="H212" s="176" t="inlineStr">
        <is>
          <t>Phase 1/2</t>
        </is>
      </c>
      <c r="I212" s="113" t="inlineStr">
        <is>
          <t>Dec 2023</t>
        </is>
      </c>
      <c r="J212" s="112" t="inlineStr">
        <is>
          <t>Phase 1/2 Data Readout</t>
        </is>
      </c>
      <c r="K212" s="112" t="inlineStr">
        <is>
          <t>MacroGenics</t>
        </is>
      </c>
      <c r="L212" s="115" t="n">
        <v>190.7</v>
      </c>
      <c r="M212" s="115" t="n">
        <v>189.9</v>
      </c>
      <c r="N212" s="122" t="n">
        <v>20.3</v>
      </c>
      <c r="O212" s="117">
        <f>IFERROR(ROUND(M212/N212,1),"")</f>
        <v/>
      </c>
      <c r="P212" s="118">
        <f>IFERROR(IF(O212="CF+","✅ CF+",IF(O212&lt;4,"🔴 &lt;4Q",IF(O212&lt;8,"🟡 4-8Q","🟢 &gt;8Q"))),"—")</f>
        <v/>
      </c>
      <c r="Q212" s="119">
        <f>IFERROR(L212-M212,"")</f>
        <v/>
      </c>
      <c r="R212" s="120" t="n">
        <v>3.54</v>
      </c>
      <c r="S212" s="120" t="n">
        <v>0.99</v>
      </c>
      <c r="T212" s="121" t="inlineStr">
        <is>
          <t>MacroGenics, Inc., a clinical-stage biopharmaceutical company, discovers, develops, manufactures, and commercializes antibody-based therapeutics for the treatment of cancer in the United States. The c</t>
        </is>
      </c>
    </row>
    <row r="213" ht="30" customHeight="1" s="89">
      <c r="A213" s="100" t="inlineStr">
        <is>
          <t>TNYA</t>
        </is>
      </c>
      <c r="B213" s="101" t="inlineStr">
        <is>
          <t>Tenaya Therapeutics, Inc.</t>
        </is>
      </c>
      <c r="C213" s="102" t="inlineStr">
        <is>
          <t>NASDAQ</t>
        </is>
      </c>
      <c r="D213" s="103" t="inlineStr"/>
      <c r="E213" s="101" t="inlineStr"/>
      <c r="F213" s="103" t="inlineStr"/>
      <c r="G213" s="101" t="inlineStr"/>
      <c r="H213" s="103" t="inlineStr"/>
      <c r="I213" s="102" t="inlineStr"/>
      <c r="J213" s="101" t="inlineStr"/>
      <c r="K213" s="101" t="inlineStr"/>
      <c r="L213" s="104" t="n">
        <v>184.5</v>
      </c>
      <c r="M213" s="104" t="n">
        <v>100.5</v>
      </c>
      <c r="N213" s="123" t="n">
        <v>15.6</v>
      </c>
      <c r="O213" s="106">
        <f>IFERROR(ROUND(M213/N213,1),"")</f>
        <v/>
      </c>
      <c r="P213" s="107">
        <f>IFERROR(IF(O213="CF+","✅ CF+",IF(O213&lt;4,"🔴 &lt;4Q",IF(O213&lt;8,"🟡 4-8Q","🟢 &gt;8Q"))),"—")</f>
        <v/>
      </c>
      <c r="Q213" s="108">
        <f>IFERROR(L213-M213,"")</f>
        <v/>
      </c>
      <c r="R213" s="109" t="n">
        <v>2.35</v>
      </c>
      <c r="S213" s="109" t="n">
        <v>0.36</v>
      </c>
      <c r="T213" s="110" t="inlineStr">
        <is>
          <t>Tenaya Therapeutics, Inc., a clinical-stage biotechnology company, discovers, develops, and delivers therapies for heart disease in the United States. Its lead product candidate includes TN-201, a gen</t>
        </is>
      </c>
    </row>
    <row r="214" ht="30" customHeight="1" s="89">
      <c r="A214" s="111" t="inlineStr">
        <is>
          <t>CRBU</t>
        </is>
      </c>
      <c r="B214" s="112" t="inlineStr">
        <is>
          <t>Caribou Biosciences, Inc.</t>
        </is>
      </c>
      <c r="C214" s="113" t="inlineStr">
        <is>
          <t>NASDAQ</t>
        </is>
      </c>
      <c r="D214" s="174" t="inlineStr">
        <is>
          <t>Oncology</t>
        </is>
      </c>
      <c r="E214" s="112" t="inlineStr">
        <is>
          <t>Lymphoma, Non-Hodgkin</t>
        </is>
      </c>
      <c r="F214" s="182" t="inlineStr">
        <is>
          <t>Gene Therapy</t>
        </is>
      </c>
      <c r="G214" s="112" t="inlineStr">
        <is>
          <t>CB-010</t>
        </is>
      </c>
      <c r="H214" s="174" t="inlineStr">
        <is>
          <t>Phase 1</t>
        </is>
      </c>
      <c r="I214" s="113" t="inlineStr">
        <is>
          <t>Aug 2025</t>
        </is>
      </c>
      <c r="J214" s="112" t="inlineStr">
        <is>
          <t>Phase 1 Data / Dose Escalation</t>
        </is>
      </c>
      <c r="K214" s="112" t="inlineStr"/>
      <c r="L214" s="115" t="n">
        <v>175.7</v>
      </c>
      <c r="M214" s="115" t="n">
        <v>139.3</v>
      </c>
      <c r="N214" s="122" t="n">
        <v>26.7</v>
      </c>
      <c r="O214" s="117">
        <f>IFERROR(ROUND(M214/N214,1),"")</f>
        <v/>
      </c>
      <c r="P214" s="118">
        <f>IFERROR(IF(O214="CF+","✅ CF+",IF(O214&lt;4,"🔴 &lt;4Q",IF(O214&lt;8,"🟡 4-8Q","🟢 &gt;8Q"))),"—")</f>
        <v/>
      </c>
      <c r="Q214" s="119">
        <f>IFERROR(L214-M214,"")</f>
        <v/>
      </c>
      <c r="R214" s="120" t="n">
        <v>3.54</v>
      </c>
      <c r="S214" s="120" t="n">
        <v>0.66</v>
      </c>
      <c r="T214" s="121" t="inlineStr">
        <is>
          <t xml:space="preserve">Caribou Biosciences, Inc. operates as a clinical-stage clustered regularly interspaced short palindromic repeats (CRISPR) genome-editing biopharmaceutical company. It offers a genome-editing platform </t>
        </is>
      </c>
    </row>
    <row r="215" ht="30" customHeight="1" s="89">
      <c r="A215" s="100" t="inlineStr">
        <is>
          <t>ZNTL</t>
        </is>
      </c>
      <c r="B215" s="101" t="inlineStr">
        <is>
          <t>Zentalis Pharmaceuticals, Inc.</t>
        </is>
      </c>
      <c r="C215" s="102" t="inlineStr">
        <is>
          <t>NGM</t>
        </is>
      </c>
      <c r="D215" s="174" t="inlineStr">
        <is>
          <t>Oncology</t>
        </is>
      </c>
      <c r="E215" s="101" t="inlineStr">
        <is>
          <t>High-Grade Serous Ovarian, Fallopian Tube or Primary Peritoneal Cancer</t>
        </is>
      </c>
      <c r="F215" s="171" t="inlineStr">
        <is>
          <t>Small Molecule</t>
        </is>
      </c>
      <c r="G215" s="101" t="inlineStr">
        <is>
          <t>azenosertib</t>
        </is>
      </c>
      <c r="H215" s="168" t="inlineStr">
        <is>
          <t>Phase 2</t>
        </is>
      </c>
      <c r="I215" s="102" t="inlineStr">
        <is>
          <t>Dec 2026</t>
        </is>
      </c>
      <c r="J215" s="101" t="inlineStr">
        <is>
          <t>Phase 2 Data Readout</t>
        </is>
      </c>
      <c r="K215" s="101" t="inlineStr"/>
      <c r="L215" s="104" t="n">
        <v>175.5</v>
      </c>
      <c r="M215" s="104" t="n">
        <v>280.7</v>
      </c>
      <c r="N215" s="123" t="n">
        <v>30.8</v>
      </c>
      <c r="O215" s="106">
        <f>IFERROR(ROUND(M215/N215,1),"")</f>
        <v/>
      </c>
      <c r="P215" s="107">
        <f>IFERROR(IF(O215="CF+","✅ CF+",IF(O215&lt;4,"🔴 &lt;4Q",IF(O215&lt;8,"🟡 4-8Q","🟢 &gt;8Q"))),"—")</f>
        <v/>
      </c>
      <c r="Q215" s="108">
        <f>IFERROR(L215-M215,"")</f>
        <v/>
      </c>
      <c r="R215" s="109" t="n">
        <v>3.95</v>
      </c>
      <c r="S215" s="109" t="n">
        <v>1.01</v>
      </c>
      <c r="T215" s="110" t="inlineStr">
        <is>
          <t>Zentalis Pharmaceuticals, Inc., a clinical-stage biopharmaceutical company, focuses on discovering and developing small molecule therapeutics for the treatment of various cancers in the United States.</t>
        </is>
      </c>
    </row>
    <row r="216" ht="30" customHeight="1" s="89">
      <c r="A216" s="111" t="inlineStr">
        <is>
          <t>KLRS</t>
        </is>
      </c>
      <c r="B216" s="112" t="inlineStr">
        <is>
          <t>Kalaris Therapeutics, Inc.</t>
        </is>
      </c>
      <c r="C216" s="113" t="inlineStr">
        <is>
          <t>NGM</t>
        </is>
      </c>
      <c r="D216" s="114" t="inlineStr"/>
      <c r="E216" s="112" t="inlineStr"/>
      <c r="F216" s="114" t="inlineStr"/>
      <c r="G216" s="112" t="inlineStr"/>
      <c r="H216" s="114" t="inlineStr"/>
      <c r="I216" s="113" t="inlineStr"/>
      <c r="J216" s="112" t="inlineStr"/>
      <c r="K216" s="112" t="inlineStr"/>
      <c r="L216" s="115" t="n">
        <v>162.1</v>
      </c>
      <c r="M216" s="115" t="n">
        <v>77</v>
      </c>
      <c r="N216" s="122" t="n">
        <v>11.9</v>
      </c>
      <c r="O216" s="117">
        <f>IFERROR(ROUND(M216/N216,1),"")</f>
        <v/>
      </c>
      <c r="P216" s="118">
        <f>IFERROR(IF(O216="CF+","✅ CF+",IF(O216&lt;4,"🔴 &lt;4Q",IF(O216&lt;8,"🟡 4-8Q","🟢 &gt;8Q"))),"—")</f>
        <v/>
      </c>
      <c r="Q216" s="119">
        <f>IFERROR(L216-M216,"")</f>
        <v/>
      </c>
      <c r="R216" s="120" t="n">
        <v>12.9</v>
      </c>
      <c r="S216" s="120" t="n">
        <v>2.14</v>
      </c>
      <c r="T216" s="121" t="inlineStr">
        <is>
          <t>Kalaris Therapeutics, Inc., a clinical-stage ophthalmology biotech company, engages in developing therapies for the treatment of neovascular retinal diseases. Kalaris Therapeutics, Inc. was formerly k</t>
        </is>
      </c>
    </row>
    <row r="217" ht="30" customHeight="1" s="89">
      <c r="A217" s="100" t="inlineStr">
        <is>
          <t>NKTX</t>
        </is>
      </c>
      <c r="B217" s="101" t="inlineStr">
        <is>
          <t>Nkarta, Inc.</t>
        </is>
      </c>
      <c r="C217" s="102" t="inlineStr">
        <is>
          <t>NASDAQ</t>
        </is>
      </c>
      <c r="D217" s="178" t="inlineStr">
        <is>
          <t>Immunology</t>
        </is>
      </c>
      <c r="E217" s="101" t="inlineStr">
        <is>
          <t>Systemic Sclerosis</t>
        </is>
      </c>
      <c r="F217" s="171" t="inlineStr">
        <is>
          <t>Small Molecule</t>
        </is>
      </c>
      <c r="G217" s="101" t="inlineStr">
        <is>
          <t>NKX019</t>
        </is>
      </c>
      <c r="H217" s="176" t="inlineStr">
        <is>
          <t>Phase 1/2</t>
        </is>
      </c>
      <c r="I217" s="102" t="inlineStr">
        <is>
          <t>Oct 2028</t>
        </is>
      </c>
      <c r="J217" s="101" t="inlineStr">
        <is>
          <t>Phase 1/2 Data Readout</t>
        </is>
      </c>
      <c r="K217" s="101" t="inlineStr"/>
      <c r="L217" s="104" t="n">
        <v>160.5</v>
      </c>
      <c r="M217" s="104" t="n">
        <v>282.3</v>
      </c>
      <c r="N217" s="123" t="n">
        <v>18.7</v>
      </c>
      <c r="O217" s="106">
        <f>IFERROR(ROUND(M217/N217,1),"")</f>
        <v/>
      </c>
      <c r="P217" s="107">
        <f>IFERROR(IF(O217="CF+","✅ CF+",IF(O217&lt;4,"🔴 &lt;4Q",IF(O217&lt;8,"🟡 4-8Q","🟢 &gt;8Q"))),"—")</f>
        <v/>
      </c>
      <c r="Q217" s="108">
        <f>IFERROR(L217-M217,"")</f>
        <v/>
      </c>
      <c r="R217" s="109" t="n">
        <v>2.81</v>
      </c>
      <c r="S217" s="109" t="n">
        <v>1.31</v>
      </c>
      <c r="T217" s="110" t="inlineStr">
        <is>
          <t>Nkarta, Inc., a clinical-stage biopharmaceutical company, develops and commercializes natural killer cell therapies for cancer and autoimmune disease treatment. The company's lead product candidate is</t>
        </is>
      </c>
    </row>
    <row r="218" ht="30" customHeight="1" s="89">
      <c r="A218" s="111" t="inlineStr">
        <is>
          <t>ARTV</t>
        </is>
      </c>
      <c r="B218" s="112" t="inlineStr">
        <is>
          <t>Artiva Biotherapeutics, Inc.</t>
        </is>
      </c>
      <c r="C218" s="113" t="inlineStr">
        <is>
          <t>NGM</t>
        </is>
      </c>
      <c r="D218" s="174" t="inlineStr">
        <is>
          <t>Oncology</t>
        </is>
      </c>
      <c r="E218" s="112" t="inlineStr">
        <is>
          <t>Refractory Rheumatoid Arthritis (RA)</t>
        </is>
      </c>
      <c r="F218" s="180" t="inlineStr">
        <is>
          <t>Cell Therapy</t>
        </is>
      </c>
      <c r="G218" s="112" t="inlineStr">
        <is>
          <t>Allogeneic NK Cells</t>
        </is>
      </c>
      <c r="H218" s="168" t="inlineStr">
        <is>
          <t>Phase 2</t>
        </is>
      </c>
      <c r="I218" s="113" t="inlineStr">
        <is>
          <t>Jan 2028</t>
        </is>
      </c>
      <c r="J218" s="112" t="inlineStr">
        <is>
          <t>Phase 2 Data Readout</t>
        </is>
      </c>
      <c r="K218" s="112" t="inlineStr"/>
      <c r="L218" s="115" t="n">
        <v>151.7</v>
      </c>
      <c r="M218" s="115" t="n">
        <v>108</v>
      </c>
      <c r="N218" s="122" t="n">
        <v>21.1</v>
      </c>
      <c r="O218" s="117">
        <f>IFERROR(ROUND(M218/N218,1),"")</f>
        <v/>
      </c>
      <c r="P218" s="118">
        <f>IFERROR(IF(O218="CF+","✅ CF+",IF(O218&lt;4,"🔴 &lt;4Q",IF(O218&lt;8,"🟡 4-8Q","🟢 &gt;8Q"))),"—")</f>
        <v/>
      </c>
      <c r="Q218" s="119">
        <f>IFERROR(L218-M218,"")</f>
        <v/>
      </c>
      <c r="R218" s="120" t="n">
        <v>7.75</v>
      </c>
      <c r="S218" s="120" t="n">
        <v>1.47</v>
      </c>
      <c r="T218" s="121" t="inlineStr">
        <is>
          <t>Artiva Biotherapeutics, Inc., a clinical-stage biotechnology company, focuses on developing natural killer (NK) cell-based therapies for patients suffering from autoimmune diseases and cancers. Its le</t>
        </is>
      </c>
    </row>
    <row r="219" ht="30" customHeight="1" s="89">
      <c r="A219" s="100" t="inlineStr">
        <is>
          <t>CNTB</t>
        </is>
      </c>
      <c r="B219" s="101" t="inlineStr">
        <is>
          <t>Connect Biopharma Holdings Limited</t>
        </is>
      </c>
      <c r="C219" s="102" t="inlineStr">
        <is>
          <t>NGM</t>
        </is>
      </c>
      <c r="D219" s="103" t="inlineStr"/>
      <c r="E219" s="101" t="inlineStr"/>
      <c r="F219" s="103" t="inlineStr"/>
      <c r="G219" s="101" t="inlineStr"/>
      <c r="H219" s="103" t="inlineStr"/>
      <c r="I219" s="102" t="inlineStr"/>
      <c r="J219" s="101" t="inlineStr"/>
      <c r="K219" s="101" t="inlineStr"/>
      <c r="L219" s="104" t="n">
        <v>150.4</v>
      </c>
      <c r="M219" s="104" t="n">
        <v>54.8</v>
      </c>
      <c r="N219" s="123" t="n">
        <v>15</v>
      </c>
      <c r="O219" s="106">
        <f>IFERROR(ROUND(M219/N219,1),"")</f>
        <v/>
      </c>
      <c r="P219" s="107">
        <f>IFERROR(IF(O219="CF+","✅ CF+",IF(O219&lt;4,"🔴 &lt;4Q",IF(O219&lt;8,"🟡 4-8Q","🟢 &gt;8Q"))),"—")</f>
        <v/>
      </c>
      <c r="Q219" s="108">
        <f>IFERROR(L219-M219,"")</f>
        <v/>
      </c>
      <c r="R219" s="109" t="n">
        <v>3.28</v>
      </c>
      <c r="S219" s="109" t="n">
        <v>0.51</v>
      </c>
      <c r="T219" s="110" t="inlineStr">
        <is>
          <t>Connect Biopharma Holdings Limited, a clinical-stage biopharmaceutical company, engages in the development of therapies for the treatment of inflammatory diseases in the United States. The company's l</t>
        </is>
      </c>
    </row>
    <row r="220" ht="30" customHeight="1" s="89">
      <c r="A220" s="111" t="inlineStr">
        <is>
          <t>BFIN</t>
        </is>
      </c>
      <c r="B220" s="112" t="inlineStr">
        <is>
          <t>BankFinancial Corporation</t>
        </is>
      </c>
      <c r="C220" s="113" t="inlineStr">
        <is>
          <t>NASDAQ</t>
        </is>
      </c>
      <c r="D220" s="114" t="inlineStr"/>
      <c r="E220" s="112" t="inlineStr"/>
      <c r="F220" s="114" t="inlineStr"/>
      <c r="G220" s="112" t="inlineStr"/>
      <c r="H220" s="114" t="inlineStr"/>
      <c r="I220" s="113" t="inlineStr"/>
      <c r="J220" s="112" t="inlineStr"/>
      <c r="K220" s="112" t="inlineStr"/>
      <c r="L220" s="115" t="n">
        <v>149.5</v>
      </c>
      <c r="M220" s="115" t="n">
        <v>94.59999999999999</v>
      </c>
      <c r="N220" s="122" t="n">
        <v>0.1</v>
      </c>
      <c r="O220" s="117">
        <f>IFERROR(ROUND(M220/N220,1),"")</f>
        <v/>
      </c>
      <c r="P220" s="118">
        <f>IFERROR(IF(O220="CF+","✅ CF+",IF(O220&lt;4,"🔴 &lt;4Q",IF(O220&lt;8,"🟡 4-8Q","🟢 &gt;8Q"))),"—")</f>
        <v/>
      </c>
      <c r="Q220" s="119">
        <f>IFERROR(L220-M220,"")</f>
        <v/>
      </c>
      <c r="R220" s="120" t="n">
        <v>13.58</v>
      </c>
      <c r="S220" s="120" t="n">
        <v>10.69</v>
      </c>
      <c r="T220" s="121" t="inlineStr">
        <is>
          <t>BankFinancial Corporation operates as the bank holding company for BankFinancial, National Association that provides banking, financial planning, and fiduciary services to individuals, families, and b</t>
        </is>
      </c>
    </row>
    <row r="221" ht="30" customHeight="1" s="89">
      <c r="A221" s="100" t="inlineStr">
        <is>
          <t>MIST</t>
        </is>
      </c>
      <c r="B221" s="101" t="inlineStr">
        <is>
          <t>Milestone Pharmaceuticals Inc.</t>
        </is>
      </c>
      <c r="C221" s="102" t="inlineStr">
        <is>
          <t>NASDAQ (ADR)</t>
        </is>
      </c>
      <c r="D221" s="168" t="inlineStr">
        <is>
          <t>Cardiometabolic</t>
        </is>
      </c>
      <c r="E221" s="101" t="inlineStr">
        <is>
          <t>Paroxysmal Supraventricular Tachycardia</t>
        </is>
      </c>
      <c r="F221" s="171" t="inlineStr">
        <is>
          <t>Small Molecule</t>
        </is>
      </c>
      <c r="G221" s="101" t="inlineStr">
        <is>
          <t>Etripamil NS 70 mg</t>
        </is>
      </c>
      <c r="H221" s="172" t="inlineStr">
        <is>
          <t>Phase 3</t>
        </is>
      </c>
      <c r="I221" s="102" t="inlineStr">
        <is>
          <t>Mar 2026</t>
        </is>
      </c>
      <c r="J221" s="101" t="inlineStr">
        <is>
          <t>Phase 3 Readout</t>
        </is>
      </c>
      <c r="K221" s="101" t="inlineStr"/>
      <c r="L221" s="104" t="n">
        <v>144.8</v>
      </c>
      <c r="M221" s="104" t="n">
        <v>82.59999999999999</v>
      </c>
      <c r="N221" s="123" t="n">
        <v>11.2</v>
      </c>
      <c r="O221" s="106">
        <f>IFERROR(ROUND(M221/N221,1),"")</f>
        <v/>
      </c>
      <c r="P221" s="107">
        <f>IFERROR(IF(O221="CF+","✅ CF+",IF(O221&lt;4,"🔴 &lt;4Q",IF(O221&lt;8,"🟡 4-8Q","🟢 &gt;8Q"))),"—")</f>
        <v/>
      </c>
      <c r="Q221" s="108">
        <f>IFERROR(L221-M221,"")</f>
        <v/>
      </c>
      <c r="R221" s="109" t="n">
        <v>3.06</v>
      </c>
      <c r="S221" s="109" t="n">
        <v>0.62</v>
      </c>
      <c r="T221" s="110" t="inlineStr">
        <is>
          <t>Milestone Pharmaceuticals Inc., a biopharmaceutical company, focuses on the development and commercialization of cardiovascular medicines in the United States and Canada. The company's lead product ca</t>
        </is>
      </c>
    </row>
    <row r="222" ht="30" customHeight="1" s="89">
      <c r="A222" s="111" t="inlineStr">
        <is>
          <t>KPTI</t>
        </is>
      </c>
      <c r="B222" s="112" t="inlineStr">
        <is>
          <t>Karyopharm Therapeutics Inc.</t>
        </is>
      </c>
      <c r="C222" s="113" t="inlineStr">
        <is>
          <t>NASDAQ</t>
        </is>
      </c>
      <c r="D222" s="174" t="inlineStr">
        <is>
          <t>Oncology</t>
        </is>
      </c>
      <c r="E222" s="112" t="inlineStr">
        <is>
          <t>Endometrial Cancer</t>
        </is>
      </c>
      <c r="F222" s="171" t="inlineStr">
        <is>
          <t>Small Molecule</t>
        </is>
      </c>
      <c r="G222" s="112" t="inlineStr">
        <is>
          <t>Selinexor</t>
        </is>
      </c>
      <c r="H222" s="172" t="inlineStr">
        <is>
          <t>Phase 3</t>
        </is>
      </c>
      <c r="I222" s="113" t="inlineStr">
        <is>
          <t>Aug 2026</t>
        </is>
      </c>
      <c r="J222" s="112" t="inlineStr">
        <is>
          <t>Commercial / Label Expansion</t>
        </is>
      </c>
      <c r="K222" s="112" t="inlineStr">
        <is>
          <t>GOG Foundation; European Network of Gynaecological Oncological Trial Groups (ENGOT); Belgian Gynaecological Oncology Group</t>
        </is>
      </c>
      <c r="L222" s="115" t="n">
        <v>144</v>
      </c>
      <c r="M222" s="115" t="n">
        <v>63.7</v>
      </c>
      <c r="N222" s="122" t="n">
        <v>8.800000000000001</v>
      </c>
      <c r="O222" s="117">
        <f>IFERROR(ROUND(M222/N222,1),"")</f>
        <v/>
      </c>
      <c r="P222" s="118">
        <f>IFERROR(IF(O222="CF+","✅ CF+",IF(O222&lt;4,"🔴 &lt;4Q",IF(O222&lt;8,"🟡 4-8Q","🟢 &gt;8Q"))),"—")</f>
        <v/>
      </c>
      <c r="Q222" s="119">
        <f>IFERROR(L222-M222,"")</f>
        <v/>
      </c>
      <c r="R222" s="120" t="n">
        <v>10.99</v>
      </c>
      <c r="S222" s="120" t="n">
        <v>3.51</v>
      </c>
      <c r="T222" s="121" t="inlineStr">
        <is>
          <t>Karyopharm Therapeutics Inc., a commercial-stage pharmaceutical company, discovers, develops, and commercializes drugs directed against nuclear export for the treatment of cancer and other diseases in</t>
        </is>
      </c>
    </row>
    <row r="223" ht="30" customHeight="1" s="89">
      <c r="A223" s="100" t="inlineStr">
        <is>
          <t>SGMO</t>
        </is>
      </c>
      <c r="B223" s="101" t="inlineStr">
        <is>
          <t>Sangamo Therapeutics, Inc.</t>
        </is>
      </c>
      <c r="C223" s="102" t="inlineStr">
        <is>
          <t>NASDAQ</t>
        </is>
      </c>
      <c r="D223" s="103" t="inlineStr"/>
      <c r="E223" s="101" t="inlineStr"/>
      <c r="F223" s="103" t="inlineStr"/>
      <c r="G223" s="101" t="inlineStr"/>
      <c r="H223" s="103" t="inlineStr"/>
      <c r="I223" s="102" t="inlineStr"/>
      <c r="J223" s="101" t="inlineStr"/>
      <c r="K223" s="101" t="inlineStr"/>
      <c r="L223" s="104" t="n">
        <v>140.6</v>
      </c>
      <c r="M223" s="104" t="n">
        <v>29.6</v>
      </c>
      <c r="N223" s="123" t="n">
        <v>23.3</v>
      </c>
      <c r="O223" s="106">
        <f>IFERROR(ROUND(M223/N223,1),"")</f>
        <v/>
      </c>
      <c r="P223" s="107">
        <f>IFERROR(IF(O223="CF+","✅ CF+",IF(O223&lt;4,"🔴 &lt;4Q",IF(O223&lt;8,"🟡 4-8Q","🟢 &gt;8Q"))),"—")</f>
        <v/>
      </c>
      <c r="Q223" s="108">
        <f>IFERROR(L223-M223,"")</f>
        <v/>
      </c>
      <c r="R223" s="109" t="n">
        <v>1.04</v>
      </c>
      <c r="S223" s="109" t="n">
        <v>0.35</v>
      </c>
      <c r="T223" s="110" t="inlineStr">
        <is>
          <t>Sangamo Therapeutics, Inc., a clinical-stage genomic medicine company, focuses on translating science into medicines that transform the lives of patients and families afflicted with serious diseases i</t>
        </is>
      </c>
    </row>
    <row r="224" ht="30" customHeight="1" s="89">
      <c r="A224" s="111" t="inlineStr">
        <is>
          <t>IPHA</t>
        </is>
      </c>
      <c r="B224" s="112" t="inlineStr">
        <is>
          <t>Innate Pharma S.A.</t>
        </is>
      </c>
      <c r="C224" s="113" t="inlineStr">
        <is>
          <t>NASDAQ (ADR)</t>
        </is>
      </c>
      <c r="D224" s="114" t="inlineStr"/>
      <c r="E224" s="112" t="inlineStr"/>
      <c r="F224" s="114" t="inlineStr"/>
      <c r="G224" s="112" t="inlineStr"/>
      <c r="H224" s="114" t="inlineStr"/>
      <c r="I224" s="113" t="inlineStr"/>
      <c r="J224" s="112" t="inlineStr"/>
      <c r="K224" s="112" t="inlineStr"/>
      <c r="L224" s="115" t="n">
        <v>140.6</v>
      </c>
      <c r="M224" s="115" t="n">
        <v>60</v>
      </c>
      <c r="N224" s="122" t="n">
        <v>10.3</v>
      </c>
      <c r="O224" s="117">
        <f>IFERROR(ROUND(M224/N224,1),"")</f>
        <v/>
      </c>
      <c r="P224" s="118">
        <f>IFERROR(IF(O224="CF+","✅ CF+",IF(O224&lt;4,"🔴 &lt;4Q",IF(O224&lt;8,"🟡 4-8Q","🟢 &gt;8Q"))),"—")</f>
        <v/>
      </c>
      <c r="Q224" s="119">
        <f>IFERROR(L224-M224,"")</f>
        <v/>
      </c>
      <c r="R224" s="120" t="n">
        <v>2.63</v>
      </c>
      <c r="S224" s="120" t="n">
        <v>1.4</v>
      </c>
      <c r="T224" s="121" t="inlineStr">
        <is>
          <t>Innate Pharma S.A. operates as a biotechnology company that develops immunotherapies for cancer patients in France and internationally. The company's products include Lacutamab (IPH4102), an anti-KIR3</t>
        </is>
      </c>
    </row>
    <row r="225" ht="30" customHeight="1" s="89">
      <c r="A225" s="100" t="inlineStr">
        <is>
          <t>OVID</t>
        </is>
      </c>
      <c r="B225" s="101" t="inlineStr">
        <is>
          <t>Ovid Therapeutics Inc.</t>
        </is>
      </c>
      <c r="C225" s="102" t="inlineStr">
        <is>
          <t>NASDAQ</t>
        </is>
      </c>
      <c r="D225" s="103" t="inlineStr"/>
      <c r="E225" s="101" t="inlineStr"/>
      <c r="F225" s="103" t="inlineStr"/>
      <c r="G225" s="101" t="inlineStr"/>
      <c r="H225" s="103" t="inlineStr"/>
      <c r="I225" s="102" t="inlineStr"/>
      <c r="J225" s="101" t="inlineStr"/>
      <c r="K225" s="101" t="inlineStr"/>
      <c r="L225" s="104" t="n">
        <v>140.3</v>
      </c>
      <c r="M225" s="104" t="n">
        <v>25.6</v>
      </c>
      <c r="N225" s="123" t="n">
        <v>8.800000000000001</v>
      </c>
      <c r="O225" s="106">
        <f>IFERROR(ROUND(M225/N225,1),"")</f>
        <v/>
      </c>
      <c r="P225" s="107">
        <f>IFERROR(IF(O225="CF+","✅ CF+",IF(O225&lt;4,"🔴 &lt;4Q",IF(O225&lt;8,"🟡 4-8Q","🟢 &gt;8Q"))),"—")</f>
        <v/>
      </c>
      <c r="Q225" s="108">
        <f>IFERROR(L225-M225,"")</f>
        <v/>
      </c>
      <c r="R225" s="109" t="n">
        <v>2.37</v>
      </c>
      <c r="S225" s="109" t="n">
        <v>0.24</v>
      </c>
      <c r="T225" s="110" t="inlineStr">
        <is>
          <t>Ovid Therapeutics Inc., a biopharmaceutical company, engages in the development of impactful medicines for patients and families with epilepsies and seizure-related neurological disorders in the Unite</t>
        </is>
      </c>
    </row>
    <row r="226" ht="30" customHeight="1" s="89">
      <c r="A226" s="111" t="inlineStr">
        <is>
          <t>DTIL</t>
        </is>
      </c>
      <c r="B226" s="112" t="inlineStr">
        <is>
          <t>Precision BioSciences, Inc.</t>
        </is>
      </c>
      <c r="C226" s="113" t="inlineStr">
        <is>
          <t>NASDAQ</t>
        </is>
      </c>
      <c r="D226" s="172" t="inlineStr">
        <is>
          <t>Rare Disease</t>
        </is>
      </c>
      <c r="E226" s="112" t="inlineStr">
        <is>
          <t>Duchenne Muscular Dystrophy With Mutations Amenable to PBGENE-DMD</t>
        </is>
      </c>
      <c r="F226" s="173" t="inlineStr">
        <is>
          <t>Monoclonal Ab (mAb)</t>
        </is>
      </c>
      <c r="G226" s="112" t="inlineStr">
        <is>
          <t>PBGENE-DMD (IV)</t>
        </is>
      </c>
      <c r="H226" s="176" t="inlineStr">
        <is>
          <t>Phase 1/2</t>
        </is>
      </c>
      <c r="I226" s="113" t="inlineStr">
        <is>
          <t>Nov 2029</t>
        </is>
      </c>
      <c r="J226" s="112" t="inlineStr">
        <is>
          <t>Phase 1/2 Data Readout</t>
        </is>
      </c>
      <c r="K226" s="112" t="inlineStr"/>
      <c r="L226" s="115" t="n">
        <v>136.5</v>
      </c>
      <c r="M226" s="115" t="n">
        <v>115.6</v>
      </c>
      <c r="N226" s="122" t="n">
        <v>17.8</v>
      </c>
      <c r="O226" s="117">
        <f>IFERROR(ROUND(M226/N226,1),"")</f>
        <v/>
      </c>
      <c r="P226" s="118">
        <f>IFERROR(IF(O226="CF+","✅ CF+",IF(O226&lt;4,"🔴 &lt;4Q",IF(O226&lt;8,"🟡 4-8Q","🟢 &gt;8Q"))),"—")</f>
        <v/>
      </c>
      <c r="Q226" s="119">
        <f>IFERROR(L226-M226,"")</f>
        <v/>
      </c>
      <c r="R226" s="120" t="n">
        <v>8.82</v>
      </c>
      <c r="S226" s="120" t="n">
        <v>3.53</v>
      </c>
      <c r="T226" s="121" t="inlineStr">
        <is>
          <t>Precision BioSciences, Inc., a clinical stage gene editing company, develops in vivo gene editing therapies for gene edits, including gene insertion, excision, and elimination in the United States. Th</t>
        </is>
      </c>
    </row>
    <row r="227" ht="30" customHeight="1" s="89">
      <c r="A227" s="100" t="inlineStr">
        <is>
          <t>FATE</t>
        </is>
      </c>
      <c r="B227" s="101" t="inlineStr">
        <is>
          <t>Fate Therapeutics, Inc.</t>
        </is>
      </c>
      <c r="C227" s="102" t="inlineStr">
        <is>
          <t>NGM</t>
        </is>
      </c>
      <c r="D227" s="103" t="inlineStr"/>
      <c r="E227" s="101" t="inlineStr"/>
      <c r="F227" s="103" t="inlineStr"/>
      <c r="G227" s="101" t="inlineStr"/>
      <c r="H227" s="103" t="inlineStr"/>
      <c r="I227" s="102" t="inlineStr"/>
      <c r="J227" s="101" t="inlineStr"/>
      <c r="K227" s="101" t="inlineStr"/>
      <c r="L227" s="104" t="n">
        <v>136</v>
      </c>
      <c r="M227" s="104" t="n">
        <v>203.7</v>
      </c>
      <c r="N227" s="123" t="n">
        <v>23.8</v>
      </c>
      <c r="O227" s="106">
        <f>IFERROR(ROUND(M227/N227,1),"")</f>
        <v/>
      </c>
      <c r="P227" s="107">
        <f>IFERROR(IF(O227="CF+","✅ CF+",IF(O227&lt;4,"🔴 &lt;4Q",IF(O227&lt;8,"🟡 4-8Q","🟢 &gt;8Q"))),"—")</f>
        <v/>
      </c>
      <c r="Q227" s="108">
        <f>IFERROR(L227-M227,"")</f>
        <v/>
      </c>
      <c r="R227" s="109" t="n">
        <v>1.94</v>
      </c>
      <c r="S227" s="109" t="n">
        <v>0.66</v>
      </c>
      <c r="T227" s="110" t="inlineStr">
        <is>
          <t>Fate Therapeutics, Inc., a clinical-stage biopharmaceutical company, develops programmed cellular immunotherapies for cancer and immune disorders in the United States and internationally. The company'</t>
        </is>
      </c>
    </row>
    <row r="228" ht="30" customHeight="1" s="89">
      <c r="A228" s="111" t="inlineStr">
        <is>
          <t>VTVT</t>
        </is>
      </c>
      <c r="B228" s="112" t="inlineStr">
        <is>
          <t>vTv Therapeutics Inc.</t>
        </is>
      </c>
      <c r="C228" s="113" t="inlineStr">
        <is>
          <t>NASDAQ</t>
        </is>
      </c>
      <c r="D228" s="114" t="inlineStr"/>
      <c r="E228" s="112" t="inlineStr"/>
      <c r="F228" s="114" t="inlineStr"/>
      <c r="G228" s="112" t="inlineStr"/>
      <c r="H228" s="114" t="inlineStr"/>
      <c r="I228" s="113" t="inlineStr"/>
      <c r="J228" s="112" t="inlineStr"/>
      <c r="K228" s="112" t="inlineStr"/>
      <c r="L228" s="115" t="n">
        <v>131.1</v>
      </c>
      <c r="M228" s="115" t="n">
        <v>88.90000000000001</v>
      </c>
      <c r="N228" s="122" t="n">
        <v>5.2</v>
      </c>
      <c r="O228" s="117">
        <f>IFERROR(ROUND(M228/N228,1),"")</f>
        <v/>
      </c>
      <c r="P228" s="118">
        <f>IFERROR(IF(O228="CF+","✅ CF+",IF(O228&lt;4,"🔴 &lt;4Q",IF(O228&lt;8,"🟡 4-8Q","🟢 &gt;8Q"))),"—")</f>
        <v/>
      </c>
      <c r="Q228" s="119">
        <f>IFERROR(L228-M228,"")</f>
        <v/>
      </c>
      <c r="R228" s="120" t="n">
        <v>44</v>
      </c>
      <c r="S228" s="120" t="n">
        <v>14</v>
      </c>
      <c r="T228" s="121" t="inlineStr">
        <is>
          <t>vTv Therapeutics Inc., a late-stage biopharmaceutical company, focuses on developing oral small molecule drug candidates intended to treat people living with diabetes and other chronic diseases. Its l</t>
        </is>
      </c>
    </row>
    <row r="229" ht="30" customHeight="1" s="89">
      <c r="A229" s="100" t="inlineStr">
        <is>
          <t>CRDF</t>
        </is>
      </c>
      <c r="B229" s="101" t="inlineStr">
        <is>
          <t>Cardiff Oncology, Inc.</t>
        </is>
      </c>
      <c r="C229" s="102" t="inlineStr">
        <is>
          <t>NASDAQ</t>
        </is>
      </c>
      <c r="D229" s="174" t="inlineStr">
        <is>
          <t>Oncology</t>
        </is>
      </c>
      <c r="E229" s="101" t="inlineStr">
        <is>
          <t>Locally Advanced Pancreatic Ductal Adenocarcinoma</t>
        </is>
      </c>
      <c r="F229" s="173" t="inlineStr">
        <is>
          <t>Monoclonal Ab (mAb)</t>
        </is>
      </c>
      <c r="G229" s="101" t="inlineStr">
        <is>
          <t>Cobimetinib</t>
        </is>
      </c>
      <c r="H229" s="174" t="inlineStr">
        <is>
          <t>Phase 1</t>
        </is>
      </c>
      <c r="I229" s="102" t="inlineStr">
        <is>
          <t>Jun 2026</t>
        </is>
      </c>
      <c r="J229" s="101" t="inlineStr">
        <is>
          <t>Phase 1 Data / Dose Escalation</t>
        </is>
      </c>
      <c r="K229" s="101" t="inlineStr">
        <is>
          <t>American Association for Cancer Research; Oregon Health and Science University; Genentech, Inc.</t>
        </is>
      </c>
      <c r="L229" s="104" t="n">
        <v>127.2</v>
      </c>
      <c r="M229" s="104" t="n">
        <v>58.3</v>
      </c>
      <c r="N229" s="123" t="n">
        <v>8.4</v>
      </c>
      <c r="O229" s="106">
        <f>IFERROR(ROUND(M229/N229,1),"")</f>
        <v/>
      </c>
      <c r="P229" s="107">
        <f>IFERROR(IF(O229="CF+","✅ CF+",IF(O229&lt;4,"🔴 &lt;4Q",IF(O229&lt;8,"🟡 4-8Q","🟢 &gt;8Q"))),"—")</f>
        <v/>
      </c>
      <c r="Q229" s="108">
        <f>IFERROR(L229-M229,"")</f>
        <v/>
      </c>
      <c r="R229" s="109" t="n">
        <v>4.56</v>
      </c>
      <c r="S229" s="109" t="n">
        <v>1.48</v>
      </c>
      <c r="T229" s="110" t="inlineStr">
        <is>
          <t xml:space="preserve">Cardiff Oncology, Inc., a clinical-stage biotechnology company, develops novel therapies for the treatment of various cancers in the United States. Its lead drug candidate is Onvansertib, an oral and </t>
        </is>
      </c>
    </row>
    <row r="230" ht="30" customHeight="1" s="89">
      <c r="A230" s="111" t="inlineStr">
        <is>
          <t>BDTX</t>
        </is>
      </c>
      <c r="B230" s="112" t="inlineStr">
        <is>
          <t>Black Diamond Therapeutics, Inc.</t>
        </is>
      </c>
      <c r="C230" s="113" t="inlineStr">
        <is>
          <t>NASDAQ</t>
        </is>
      </c>
      <c r="D230" s="174" t="inlineStr">
        <is>
          <t>Oncology</t>
        </is>
      </c>
      <c r="E230" s="112" t="inlineStr">
        <is>
          <t>Glioblastoma (GBM)</t>
        </is>
      </c>
      <c r="F230" s="171" t="inlineStr">
        <is>
          <t>Small Molecule</t>
        </is>
      </c>
      <c r="G230" s="112" t="inlineStr">
        <is>
          <t>silevertinib in combination with temozolomide</t>
        </is>
      </c>
      <c r="H230" s="168" t="inlineStr">
        <is>
          <t>Phase 2</t>
        </is>
      </c>
      <c r="I230" s="113" t="inlineStr">
        <is>
          <t>Nov 2028</t>
        </is>
      </c>
      <c r="J230" s="112" t="inlineStr">
        <is>
          <t>Phase 2 Data Readout</t>
        </is>
      </c>
      <c r="K230" s="112" t="inlineStr"/>
      <c r="L230" s="115" t="n">
        <v>120.8</v>
      </c>
      <c r="M230" s="115" t="n">
        <v>135.5</v>
      </c>
      <c r="N230" s="122" t="n">
        <v>8.5</v>
      </c>
      <c r="O230" s="117">
        <f>IFERROR(ROUND(M230/N230,1),"")</f>
        <v/>
      </c>
      <c r="P230" s="118">
        <f>IFERROR(IF(O230="CF+","✅ CF+",IF(O230&lt;4,"🔴 &lt;4Q",IF(O230&lt;8,"🟡 4-8Q","🟢 &gt;8Q"))),"—")</f>
        <v/>
      </c>
      <c r="Q230" s="119">
        <f>IFERROR(L230-M230,"")</f>
        <v/>
      </c>
      <c r="R230" s="120" t="n">
        <v>4.94</v>
      </c>
      <c r="S230" s="120" t="n">
        <v>1.2</v>
      </c>
      <c r="T230" s="121" t="inlineStr">
        <is>
          <t>Black Diamond Therapeutics, Inc., a clinical-stage oncology company, focuses on the discovery and development of MasterKey therapies for patients with genetically defined tumors. The company's lead pr</t>
        </is>
      </c>
    </row>
    <row r="231" ht="30" customHeight="1" s="89">
      <c r="A231" s="100" t="inlineStr">
        <is>
          <t>CRDL</t>
        </is>
      </c>
      <c r="B231" s="101" t="inlineStr">
        <is>
          <t>Cardiol Therapeutics Inc.</t>
        </is>
      </c>
      <c r="C231" s="102" t="inlineStr">
        <is>
          <t>NASDAQ (ADR)</t>
        </is>
      </c>
      <c r="D231" s="169" t="inlineStr">
        <is>
          <t>Other</t>
        </is>
      </c>
      <c r="E231" s="101" t="inlineStr">
        <is>
          <t>Recurrent Pericarditis</t>
        </is>
      </c>
      <c r="F231" s="171" t="inlineStr">
        <is>
          <t>Small Molecule</t>
        </is>
      </c>
      <c r="G231" s="101" t="inlineStr">
        <is>
          <t>CardiolRx</t>
        </is>
      </c>
      <c r="H231" s="172" t="inlineStr">
        <is>
          <t>Phase 3</t>
        </is>
      </c>
      <c r="I231" s="102" t="inlineStr">
        <is>
          <t>Sep 2026</t>
        </is>
      </c>
      <c r="J231" s="101" t="inlineStr">
        <is>
          <t>Phase 3 Readout</t>
        </is>
      </c>
      <c r="K231" s="101" t="inlineStr"/>
      <c r="L231" s="104" t="n">
        <v>113.9</v>
      </c>
      <c r="M231" s="104" t="n">
        <v>11.6</v>
      </c>
      <c r="N231" s="123" t="n">
        <v>5.7</v>
      </c>
      <c r="O231" s="106">
        <f>IFERROR(ROUND(M231/N231,1),"")</f>
        <v/>
      </c>
      <c r="P231" s="107">
        <f>IFERROR(IF(O231="CF+","✅ CF+",IF(O231&lt;4,"🔴 &lt;4Q",IF(O231&lt;8,"🟡 4-8Q","🟢 &gt;8Q"))),"—")</f>
        <v/>
      </c>
      <c r="Q231" s="108">
        <f>IFERROR(L231-M231,"")</f>
        <v/>
      </c>
      <c r="R231" s="109" t="n">
        <v>1.59</v>
      </c>
      <c r="S231" s="109" t="n">
        <v>0.77</v>
      </c>
      <c r="T231" s="110" t="inlineStr">
        <is>
          <t>Cardiol Therapeutics Inc., a clinical-stage life sciences company, focuses on the developing of anti-fibrotic and anti-inflammatory therapies for the treatment of heart diseases. Its lead product cand</t>
        </is>
      </c>
    </row>
    <row r="232" ht="30" customHeight="1" s="89">
      <c r="A232" s="111" t="inlineStr">
        <is>
          <t>AGEN</t>
        </is>
      </c>
      <c r="B232" s="112" t="inlineStr">
        <is>
          <t>Agenus Inc.</t>
        </is>
      </c>
      <c r="C232" s="113" t="inlineStr">
        <is>
          <t>NASDAQ</t>
        </is>
      </c>
      <c r="D232" s="174" t="inlineStr">
        <is>
          <t>Oncology</t>
        </is>
      </c>
      <c r="E232" s="112" t="inlineStr">
        <is>
          <t>Gastric Cancer</t>
        </is>
      </c>
      <c r="F232" s="173" t="inlineStr">
        <is>
          <t>Monoclonal Ab (mAb)</t>
        </is>
      </c>
      <c r="G232" s="112" t="inlineStr">
        <is>
          <t>Balstilimab</t>
        </is>
      </c>
      <c r="H232" s="172" t="inlineStr">
        <is>
          <t>Phase 3</t>
        </is>
      </c>
      <c r="I232" s="113" t="inlineStr">
        <is>
          <t>May 2028</t>
        </is>
      </c>
      <c r="J232" s="112" t="inlineStr">
        <is>
          <t>Phase 3 Readout</t>
        </is>
      </c>
      <c r="K232" s="112" t="inlineStr">
        <is>
          <t>Agenus Inc.</t>
        </is>
      </c>
      <c r="L232" s="115" t="n">
        <v>112</v>
      </c>
      <c r="M232" s="115" t="n">
        <v>3.5</v>
      </c>
      <c r="N232" s="122" t="n">
        <v>17.5</v>
      </c>
      <c r="O232" s="117">
        <f>IFERROR(ROUND(M232/N232,1),"")</f>
        <v/>
      </c>
      <c r="P232" s="118">
        <f>IFERROR(IF(O232="CF+","✅ CF+",IF(O232&lt;4,"🔴 &lt;4Q",IF(O232&lt;8,"🟡 4-8Q","🟢 &gt;8Q"))),"—")</f>
        <v/>
      </c>
      <c r="Q232" s="119">
        <f>IFERROR(L232-M232,"")</f>
        <v/>
      </c>
      <c r="R232" s="120" t="n">
        <v>7.34</v>
      </c>
      <c r="S232" s="120" t="n">
        <v>1.38</v>
      </c>
      <c r="T232" s="121" t="inlineStr">
        <is>
          <t>Agenus Inc., a clinical-stage biotechnology company, discovers and develops therapies to activate the body's immune system against cancer and infections in the United States and internationally. It of</t>
        </is>
      </c>
    </row>
    <row r="233" ht="30" customHeight="1" s="89">
      <c r="A233" s="100" t="inlineStr">
        <is>
          <t>SEER</t>
        </is>
      </c>
      <c r="B233" s="101" t="inlineStr">
        <is>
          <t>Seer, Inc.</t>
        </is>
      </c>
      <c r="C233" s="102" t="inlineStr">
        <is>
          <t>NASDAQ</t>
        </is>
      </c>
      <c r="D233" s="103" t="inlineStr"/>
      <c r="E233" s="101" t="inlineStr"/>
      <c r="F233" s="103" t="inlineStr"/>
      <c r="G233" s="101" t="inlineStr"/>
      <c r="H233" s="103" t="inlineStr"/>
      <c r="I233" s="102" t="inlineStr"/>
      <c r="J233" s="101" t="inlineStr"/>
      <c r="K233" s="101" t="inlineStr"/>
      <c r="L233" s="104" t="n">
        <v>102.1</v>
      </c>
      <c r="M233" s="104" t="n">
        <v>185.9</v>
      </c>
      <c r="N233" s="123" t="n">
        <v>9.199999999999999</v>
      </c>
      <c r="O233" s="106">
        <f>IFERROR(ROUND(M233/N233,1),"")</f>
        <v/>
      </c>
      <c r="P233" s="107">
        <f>IFERROR(IF(O233="CF+","✅ CF+",IF(O233&lt;4,"🔴 &lt;4Q",IF(O233&lt;8,"🟡 4-8Q","🟢 &gt;8Q"))),"—")</f>
        <v/>
      </c>
      <c r="Q233" s="108">
        <f>IFERROR(L233-M233,"")</f>
        <v/>
      </c>
      <c r="R233" s="109" t="n">
        <v>2.41</v>
      </c>
      <c r="S233" s="109" t="n">
        <v>1.62</v>
      </c>
      <c r="T233" s="110" t="inlineStr">
        <is>
          <t>Seer, Inc., a life sciences company, develops and commercializes products to decode the biology of the proteome to improve human health in the United States, China, Australia, Europe, Israel, Japan, a</t>
        </is>
      </c>
    </row>
    <row r="234" ht="30" customHeight="1" s="89">
      <c r="A234" s="111" t="inlineStr">
        <is>
          <t>FBIO</t>
        </is>
      </c>
      <c r="B234" s="112" t="inlineStr">
        <is>
          <t>Fortress Biotech, Inc.</t>
        </is>
      </c>
      <c r="C234" s="113" t="inlineStr">
        <is>
          <t>NASDAQ</t>
        </is>
      </c>
      <c r="D234" s="114" t="inlineStr"/>
      <c r="E234" s="112" t="inlineStr"/>
      <c r="F234" s="114" t="inlineStr"/>
      <c r="G234" s="112" t="inlineStr"/>
      <c r="H234" s="114" t="inlineStr"/>
      <c r="I234" s="113" t="inlineStr"/>
      <c r="J234" s="112" t="inlineStr"/>
      <c r="K234" s="112" t="inlineStr"/>
      <c r="L234" s="115" t="n">
        <v>96.2</v>
      </c>
      <c r="M234" s="115" t="n">
        <v>86.2</v>
      </c>
      <c r="N234" s="122" t="n">
        <v>16.8</v>
      </c>
      <c r="O234" s="117">
        <f>IFERROR(ROUND(M234/N234,1),"")</f>
        <v/>
      </c>
      <c r="P234" s="118">
        <f>IFERROR(IF(O234="CF+","✅ CF+",IF(O234&lt;4,"🔴 &lt;4Q",IF(O234&lt;8,"🟡 4-8Q","🟢 &gt;8Q"))),"—")</f>
        <v/>
      </c>
      <c r="Q234" s="119">
        <f>IFERROR(L234-M234,"")</f>
        <v/>
      </c>
      <c r="R234" s="120" t="n">
        <v>4.53</v>
      </c>
      <c r="S234" s="120" t="n">
        <v>1.33</v>
      </c>
      <c r="T234" s="121" t="inlineStr">
        <is>
          <t>Fortress Biotech, Inc., a biopharmaceutical company, engages in the development and commercialization of biopharmaceutical products. The company markets dermatology products, including Emrosi, a minoc</t>
        </is>
      </c>
    </row>
    <row r="235" ht="30" customHeight="1" s="89">
      <c r="A235" s="100" t="inlineStr">
        <is>
          <t>CGTX</t>
        </is>
      </c>
      <c r="B235" s="101" t="inlineStr">
        <is>
          <t>Cognition Therapeutics, Inc.</t>
        </is>
      </c>
      <c r="C235" s="102" t="inlineStr">
        <is>
          <t>NASDAQ</t>
        </is>
      </c>
      <c r="D235" s="169" t="inlineStr">
        <is>
          <t>Other</t>
        </is>
      </c>
      <c r="E235" s="101" t="inlineStr">
        <is>
          <t>Mental Health Symptoms</t>
        </is>
      </c>
      <c r="F235" s="103" t="inlineStr"/>
      <c r="G235" s="101" t="inlineStr"/>
      <c r="H235" s="169" t="inlineStr">
        <is>
          <t>Preclinical</t>
        </is>
      </c>
      <c r="I235" s="102" t="inlineStr">
        <is>
          <t>May 2025</t>
        </is>
      </c>
      <c r="J235" s="101" t="inlineStr">
        <is>
          <t>Clinical Update</t>
        </is>
      </c>
      <c r="K235" s="101" t="inlineStr">
        <is>
          <t>Definium Therapeutics US, Inc.; Vector Institute for Artificial Intelligence; Cambridge Cognition Ltd</t>
        </is>
      </c>
      <c r="L235" s="104" t="n">
        <v>92.7</v>
      </c>
      <c r="M235" s="104" t="n">
        <v>39.3</v>
      </c>
      <c r="N235" s="123" t="n">
        <v>5.6</v>
      </c>
      <c r="O235" s="106">
        <f>IFERROR(ROUND(M235/N235,1),"")</f>
        <v/>
      </c>
      <c r="P235" s="107">
        <f>IFERROR(IF(O235="CF+","✅ CF+",IF(O235&lt;4,"🔴 &lt;4Q",IF(O235&lt;8,"🟡 4-8Q","🟢 &gt;8Q"))),"—")</f>
        <v/>
      </c>
      <c r="Q235" s="108">
        <f>IFERROR(L235-M235,"")</f>
        <v/>
      </c>
      <c r="R235" s="109" t="n">
        <v>3.83</v>
      </c>
      <c r="S235" s="109" t="n">
        <v>0.22</v>
      </c>
      <c r="T235" s="110" t="inlineStr">
        <is>
          <t>Cognition Therapeutics, Inc., a clinical-stage biopharmaceutical company, engages in the discovery and development of small molecule therapeutics targeting age-related degenerative diseases and disord</t>
        </is>
      </c>
    </row>
    <row r="236" ht="30" customHeight="1" s="89">
      <c r="A236" s="111" t="inlineStr">
        <is>
          <t>OKYO</t>
        </is>
      </c>
      <c r="B236" s="112" t="inlineStr">
        <is>
          <t>OKYO Pharma Limited</t>
        </is>
      </c>
      <c r="C236" s="113" t="inlineStr">
        <is>
          <t>NASDAQ (ADR)</t>
        </is>
      </c>
      <c r="D236" s="114" t="inlineStr"/>
      <c r="E236" s="112" t="inlineStr"/>
      <c r="F236" s="114" t="inlineStr"/>
      <c r="G236" s="112" t="inlineStr"/>
      <c r="H236" s="114" t="inlineStr"/>
      <c r="I236" s="113" t="inlineStr"/>
      <c r="J236" s="112" t="inlineStr"/>
      <c r="K236" s="112" t="inlineStr"/>
      <c r="L236" s="115" t="n">
        <v>85.3</v>
      </c>
      <c r="M236" s="115" t="n">
        <v>4.2</v>
      </c>
      <c r="N236" s="122" t="n">
        <v>0.8</v>
      </c>
      <c r="O236" s="117">
        <f>IFERROR(ROUND(M236/N236,1),"")</f>
        <v/>
      </c>
      <c r="P236" s="118">
        <f>IFERROR(IF(O236="CF+","✅ CF+",IF(O236&lt;4,"🔴 &lt;4Q",IF(O236&lt;8,"🟡 4-8Q","🟢 &gt;8Q"))),"—")</f>
        <v/>
      </c>
      <c r="Q236" s="119">
        <f>IFERROR(L236-M236,"")</f>
        <v/>
      </c>
      <c r="R236" s="120" t="n">
        <v>3.35</v>
      </c>
      <c r="S236" s="120" t="n">
        <v>1.03</v>
      </c>
      <c r="T236" s="121" t="inlineStr">
        <is>
          <t>OKYO Pharma Limited, a clinical-stage biopharmaceutical company, develops therapeutics for patients suffering from inflammatory eye diseases and ocular pain in the United Kingdom. Its lead clinical pr</t>
        </is>
      </c>
    </row>
    <row r="237" ht="30" customHeight="1" s="89">
      <c r="A237" s="100" t="inlineStr">
        <is>
          <t>CSBR</t>
        </is>
      </c>
      <c r="B237" s="101" t="inlineStr">
        <is>
          <t>Champions Oncology, Inc.</t>
        </is>
      </c>
      <c r="C237" s="102" t="inlineStr">
        <is>
          <t>NASDAQ</t>
        </is>
      </c>
      <c r="D237" s="103" t="inlineStr"/>
      <c r="E237" s="101" t="inlineStr"/>
      <c r="F237" s="103" t="inlineStr"/>
      <c r="G237" s="101" t="inlineStr"/>
      <c r="H237" s="103" t="inlineStr"/>
      <c r="I237" s="102" t="inlineStr"/>
      <c r="J237" s="101" t="inlineStr"/>
      <c r="K237" s="101" t="inlineStr"/>
      <c r="L237" s="104" t="n">
        <v>84.7</v>
      </c>
      <c r="M237" s="104" t="n">
        <v>7.1</v>
      </c>
      <c r="N237" s="123" t="n">
        <v>0.6</v>
      </c>
      <c r="O237" s="106">
        <f>IFERROR(ROUND(M237/N237,1),"")</f>
        <v/>
      </c>
      <c r="P237" s="107">
        <f>IFERROR(IF(O237="CF+","✅ CF+",IF(O237&lt;4,"🔴 &lt;4Q",IF(O237&lt;8,"🟡 4-8Q","🟢 &gt;8Q"))),"—")</f>
        <v/>
      </c>
      <c r="Q237" s="108">
        <f>IFERROR(L237-M237,"")</f>
        <v/>
      </c>
      <c r="R237" s="109" t="n">
        <v>10.25</v>
      </c>
      <c r="S237" s="109" t="n">
        <v>5.5</v>
      </c>
      <c r="T237" s="110" t="inlineStr">
        <is>
          <t>Champions Oncology, Inc., a technology-enabled research company, provides technology solutions for drug discovery and development in the United States. The company, through its Tumorgraft technology p</t>
        </is>
      </c>
    </row>
    <row r="238" ht="30" customHeight="1" s="89">
      <c r="A238" s="111" t="inlineStr">
        <is>
          <t>ATYR</t>
        </is>
      </c>
      <c r="B238" s="112" t="inlineStr">
        <is>
          <t>aTyr Pharma, Inc.</t>
        </is>
      </c>
      <c r="C238" s="113" t="inlineStr">
        <is>
          <t>NASDAQ</t>
        </is>
      </c>
      <c r="D238" s="170" t="inlineStr">
        <is>
          <t>Infectious Disease</t>
        </is>
      </c>
      <c r="E238" s="112" t="inlineStr">
        <is>
          <t>Pulmonary Sarcoidosis</t>
        </is>
      </c>
      <c r="F238" s="171" t="inlineStr">
        <is>
          <t>Small Molecule</t>
        </is>
      </c>
      <c r="G238" s="112" t="inlineStr">
        <is>
          <t>Efzofitimod 3 mg/kg</t>
        </is>
      </c>
      <c r="H238" s="172" t="inlineStr">
        <is>
          <t>Phase 3</t>
        </is>
      </c>
      <c r="I238" s="113" t="inlineStr">
        <is>
          <t>Jul 2025</t>
        </is>
      </c>
      <c r="J238" s="112" t="inlineStr">
        <is>
          <t>Phase 3 Readout</t>
        </is>
      </c>
      <c r="K238" s="112" t="inlineStr">
        <is>
          <t>Kyorin Pharmaceutical Co.,Ltd</t>
        </is>
      </c>
      <c r="L238" s="115" t="n">
        <v>83.3</v>
      </c>
      <c r="M238" s="115" t="n">
        <v>78.7</v>
      </c>
      <c r="N238" s="122" t="n">
        <v>17.2</v>
      </c>
      <c r="O238" s="117">
        <f>IFERROR(ROUND(M238/N238,1),"")</f>
        <v/>
      </c>
      <c r="P238" s="118">
        <f>IFERROR(IF(O238="CF+","✅ CF+",IF(O238&lt;4,"🔴 &lt;4Q",IF(O238&lt;8,"🟡 4-8Q","🟢 &gt;8Q"))),"—")</f>
        <v/>
      </c>
      <c r="Q238" s="119">
        <f>IFERROR(L238-M238,"")</f>
        <v/>
      </c>
      <c r="R238" s="120" t="n">
        <v>7.29</v>
      </c>
      <c r="S238" s="120" t="n">
        <v>0.64</v>
      </c>
      <c r="T238" s="121" t="inlineStr">
        <is>
          <t>aTyr Pharma, Inc., a clinical stage biotechnology company, engages in the discovery and development of product candidates that translate tRNA synthetase biology into new therapies for fibrosis and inf</t>
        </is>
      </c>
    </row>
    <row r="239" ht="30" customHeight="1" s="89">
      <c r="A239" s="100" t="inlineStr">
        <is>
          <t>PMVP</t>
        </is>
      </c>
      <c r="B239" s="101" t="inlineStr">
        <is>
          <t>PMV Pharmaceuticals, Inc.</t>
        </is>
      </c>
      <c r="C239" s="102" t="inlineStr">
        <is>
          <t>NASDAQ</t>
        </is>
      </c>
      <c r="D239" s="174" t="inlineStr">
        <is>
          <t>Oncology</t>
        </is>
      </c>
      <c r="E239" s="101" t="inlineStr">
        <is>
          <t>Advanced Solid Tumor</t>
        </is>
      </c>
      <c r="F239" s="173" t="inlineStr">
        <is>
          <t>Monoclonal Ab (mAb)</t>
        </is>
      </c>
      <c r="G239" s="101" t="inlineStr">
        <is>
          <t>rezatapopt</t>
        </is>
      </c>
      <c r="H239" s="176" t="inlineStr">
        <is>
          <t>Phase 1/2</t>
        </is>
      </c>
      <c r="I239" s="102" t="inlineStr">
        <is>
          <t>Aug 2026</t>
        </is>
      </c>
      <c r="J239" s="101" t="inlineStr">
        <is>
          <t>Phase 1/2 Data Readout</t>
        </is>
      </c>
      <c r="K239" s="101" t="inlineStr">
        <is>
          <t>Merck Sharp &amp; Dohme LLC</t>
        </is>
      </c>
      <c r="L239" s="104" t="n">
        <v>83</v>
      </c>
      <c r="M239" s="104" t="n">
        <v>112.9</v>
      </c>
      <c r="N239" s="123" t="n">
        <v>19.1</v>
      </c>
      <c r="O239" s="106">
        <f>IFERROR(ROUND(M239/N239,1),"")</f>
        <v/>
      </c>
      <c r="P239" s="107">
        <f>IFERROR(IF(O239="CF+","✅ CF+",IF(O239&lt;4,"🔴 &lt;4Q",IF(O239&lt;8,"🟡 4-8Q","🟢 &gt;8Q"))),"—")</f>
        <v/>
      </c>
      <c r="Q239" s="108">
        <f>IFERROR(L239-M239,"")</f>
        <v/>
      </c>
      <c r="R239" s="109" t="n">
        <v>1.88</v>
      </c>
      <c r="S239" s="109" t="n">
        <v>0.8100000000000001</v>
      </c>
      <c r="T239" s="110" t="inlineStr">
        <is>
          <t>PMV Pharmaceuticals, Inc., a precision oncology company, engages in the discovery and development of small molecule therapies targeting p53 mutations and other p53-related cancers in the United States</t>
        </is>
      </c>
    </row>
    <row r="240" ht="30" customHeight="1" s="89">
      <c r="A240" s="111" t="inlineStr">
        <is>
          <t>PLRX</t>
        </is>
      </c>
      <c r="B240" s="112" t="inlineStr">
        <is>
          <t>Pliant Therapeutics, Inc.</t>
        </is>
      </c>
      <c r="C240" s="113" t="inlineStr">
        <is>
          <t>NASDAQ</t>
        </is>
      </c>
      <c r="D240" s="178" t="inlineStr">
        <is>
          <t>Immunology</t>
        </is>
      </c>
      <c r="E240" s="112" t="inlineStr">
        <is>
          <t>Idiopathic Pulmonary Fibrosis</t>
        </is>
      </c>
      <c r="F240" s="171" t="inlineStr">
        <is>
          <t>Small Molecule</t>
        </is>
      </c>
      <c r="G240" s="112" t="inlineStr">
        <is>
          <t>PLN-74809</t>
        </is>
      </c>
      <c r="H240" s="168" t="inlineStr">
        <is>
          <t>Phase 2</t>
        </is>
      </c>
      <c r="I240" s="113" t="inlineStr">
        <is>
          <t>Dec 2023</t>
        </is>
      </c>
      <c r="J240" s="112" t="inlineStr">
        <is>
          <t>Phase 2 Data Readout</t>
        </is>
      </c>
      <c r="K240" s="112" t="inlineStr"/>
      <c r="L240" s="115" t="n">
        <v>83</v>
      </c>
      <c r="M240" s="115" t="n">
        <v>190.9</v>
      </c>
      <c r="N240" s="122" t="n">
        <v>30.8</v>
      </c>
      <c r="O240" s="117">
        <f>IFERROR(ROUND(M240/N240,1),"")</f>
        <v/>
      </c>
      <c r="P240" s="118">
        <f>IFERROR(IF(O240="CF+","✅ CF+",IF(O240&lt;4,"🔴 &lt;4Q",IF(O240&lt;8,"🟡 4-8Q","🟢 &gt;8Q"))),"—")</f>
        <v/>
      </c>
      <c r="Q240" s="119">
        <f>IFERROR(L240-M240,"")</f>
        <v/>
      </c>
      <c r="R240" s="120" t="n">
        <v>1.95</v>
      </c>
      <c r="S240" s="120" t="n">
        <v>1.09</v>
      </c>
      <c r="T240" s="121" t="inlineStr">
        <is>
          <t>Pliant Therapeutics, Inc., a clinical-stage biopharmaceutical company, focuses on discovering and developing integrin-based therapeutics for the treatment of solid tumors. The company's lead product c</t>
        </is>
      </c>
    </row>
    <row r="241" ht="30" customHeight="1" s="89">
      <c r="A241" s="100" t="inlineStr">
        <is>
          <t>PTHS</t>
        </is>
      </c>
      <c r="B241" s="101" t="inlineStr">
        <is>
          <t>Pelthos Therapeutics Inc.</t>
        </is>
      </c>
      <c r="C241" s="102" t="inlineStr">
        <is>
          <t>NYSE American</t>
        </is>
      </c>
      <c r="D241" s="103" t="inlineStr"/>
      <c r="E241" s="101" t="inlineStr"/>
      <c r="F241" s="103" t="inlineStr"/>
      <c r="G241" s="101" t="inlineStr"/>
      <c r="H241" s="103" t="inlineStr"/>
      <c r="I241" s="102" t="inlineStr"/>
      <c r="J241" s="101" t="inlineStr"/>
      <c r="K241" s="101" t="inlineStr"/>
      <c r="L241" s="104" t="n">
        <v>79.3</v>
      </c>
      <c r="M241" s="104" t="n">
        <v>14.2</v>
      </c>
      <c r="N241" s="123" t="n">
        <v>7.9</v>
      </c>
      <c r="O241" s="106">
        <f>IFERROR(ROUND(M241/N241,1),"")</f>
        <v/>
      </c>
      <c r="P241" s="107">
        <f>IFERROR(IF(O241="CF+","✅ CF+",IF(O241&lt;4,"🔴 &lt;4Q",IF(O241&lt;8,"🟡 4-8Q","🟢 &gt;8Q"))),"—")</f>
        <v/>
      </c>
      <c r="Q241" s="108">
        <f>IFERROR(L241-M241,"")</f>
        <v/>
      </c>
      <c r="R241" s="109" t="n">
        <v>54.29</v>
      </c>
      <c r="S241" s="109" t="n">
        <v>9</v>
      </c>
      <c r="T241" s="110" t="inlineStr">
        <is>
          <t>Pelthos Therapeutics Inc., a bio-pharmaceutical company, develops and commercializes therapeutic products to help patients with unmet treatment burdens. The company offers ZELSUVMI for the treatment o</t>
        </is>
      </c>
    </row>
    <row r="242" ht="30" customHeight="1" s="89">
      <c r="A242" s="111" t="inlineStr">
        <is>
          <t>XBIT</t>
        </is>
      </c>
      <c r="B242" s="112" t="inlineStr">
        <is>
          <t>XBiotech Inc.</t>
        </is>
      </c>
      <c r="C242" s="113" t="inlineStr">
        <is>
          <t>NASDAQ</t>
        </is>
      </c>
      <c r="D242" s="178" t="inlineStr">
        <is>
          <t>Immunology</t>
        </is>
      </c>
      <c r="E242" s="112" t="inlineStr">
        <is>
          <t>Rheumatoid Arthritis</t>
        </is>
      </c>
      <c r="F242" s="173" t="inlineStr">
        <is>
          <t>Monoclonal Ab (mAb)</t>
        </is>
      </c>
      <c r="G242" s="112" t="inlineStr">
        <is>
          <t>Natrunix 400 mg</t>
        </is>
      </c>
      <c r="H242" s="168" t="inlineStr">
        <is>
          <t>Phase 2</t>
        </is>
      </c>
      <c r="I242" s="113" t="inlineStr">
        <is>
          <t>Jan 2027</t>
        </is>
      </c>
      <c r="J242" s="112" t="inlineStr">
        <is>
          <t>Phase 2 Data Readout</t>
        </is>
      </c>
      <c r="K242" s="112" t="inlineStr"/>
      <c r="L242" s="115" t="n">
        <v>70.40000000000001</v>
      </c>
      <c r="M242" s="115" t="n">
        <v>147.4</v>
      </c>
      <c r="N242" s="122" t="n">
        <v>5.1</v>
      </c>
      <c r="O242" s="117">
        <f>IFERROR(ROUND(M242/N242,1),"")</f>
        <v/>
      </c>
      <c r="P242" s="118">
        <f>IFERROR(IF(O242="CF+","✅ CF+",IF(O242&lt;4,"🔴 &lt;4Q",IF(O242&lt;8,"🟡 4-8Q","🟢 &gt;8Q"))),"—")</f>
        <v/>
      </c>
      <c r="Q242" s="119">
        <f>IFERROR(L242-M242,"")</f>
        <v/>
      </c>
      <c r="R242" s="120" t="n">
        <v>3.62</v>
      </c>
      <c r="S242" s="120" t="n">
        <v>2.09</v>
      </c>
      <c r="T242" s="121" t="inlineStr">
        <is>
          <t>XBiotech Inc., a biopharmaceutical company, discovers, develops, and commercializes true human monoclonal antibodies for treating various diseases. It develops a pipeline of product candidates targeti</t>
        </is>
      </c>
    </row>
    <row r="243" ht="30" customHeight="1" s="89">
      <c r="A243" s="100" t="inlineStr">
        <is>
          <t>BYSI</t>
        </is>
      </c>
      <c r="B243" s="101" t="inlineStr">
        <is>
          <t>BeyondSpring Inc.</t>
        </is>
      </c>
      <c r="C243" s="102" t="inlineStr">
        <is>
          <t>NASDAQ</t>
        </is>
      </c>
      <c r="D243" s="174" t="inlineStr">
        <is>
          <t>Oncology</t>
        </is>
      </c>
      <c r="E243" s="101" t="inlineStr">
        <is>
          <t>Non-Small Cell Lung Cancer</t>
        </is>
      </c>
      <c r="F243" s="171" t="inlineStr">
        <is>
          <t>Small Molecule</t>
        </is>
      </c>
      <c r="G243" s="101" t="inlineStr">
        <is>
          <t>Plinabulin</t>
        </is>
      </c>
      <c r="H243" s="172" t="inlineStr">
        <is>
          <t>Phase 3</t>
        </is>
      </c>
      <c r="I243" s="102" t="inlineStr">
        <is>
          <t>Jun 2029</t>
        </is>
      </c>
      <c r="J243" s="101" t="inlineStr">
        <is>
          <t>Phase 3 Readout</t>
        </is>
      </c>
      <c r="K243" s="101" t="inlineStr"/>
      <c r="L243" s="104" t="n">
        <v>69.5</v>
      </c>
      <c r="M243" s="104" t="n">
        <v>12.6</v>
      </c>
      <c r="N243" s="123" t="n">
        <v>5</v>
      </c>
      <c r="O243" s="106">
        <f>IFERROR(ROUND(M243/N243,1),"")</f>
        <v/>
      </c>
      <c r="P243" s="107">
        <f>IFERROR(IF(O243="CF+","✅ CF+",IF(O243&lt;4,"🔴 &lt;4Q",IF(O243&lt;8,"🟡 4-8Q","🟢 &gt;8Q"))),"—")</f>
        <v/>
      </c>
      <c r="Q243" s="108">
        <f>IFERROR(L243-M243,"")</f>
        <v/>
      </c>
      <c r="R243" s="109" t="n">
        <v>3.44</v>
      </c>
      <c r="S243" s="109" t="n">
        <v>0.98</v>
      </c>
      <c r="T243" s="110" t="inlineStr">
        <is>
          <t>BeyondSpring Inc., a clinical stage biopharmaceutical company, focuses on the development of cancer therapies. It operates through two segments: Plinabulin pipeline and TPD platform. The company's lea</t>
        </is>
      </c>
    </row>
    <row r="244" ht="30" customHeight="1" s="89">
      <c r="A244" s="111" t="inlineStr">
        <is>
          <t>LUNG</t>
        </is>
      </c>
      <c r="B244" s="112" t="inlineStr">
        <is>
          <t>Pulmonx Corporation</t>
        </is>
      </c>
      <c r="C244" s="113" t="inlineStr">
        <is>
          <t>NASDAQ</t>
        </is>
      </c>
      <c r="D244" s="178" t="inlineStr">
        <is>
          <t>Immunology</t>
        </is>
      </c>
      <c r="E244" s="112" t="inlineStr">
        <is>
          <t>Heterogeneous Emphysema</t>
        </is>
      </c>
      <c r="F244" s="114" t="inlineStr"/>
      <c r="G244" s="112" t="inlineStr"/>
      <c r="H244" s="176" t="inlineStr">
        <is>
          <t>Phase 1/2</t>
        </is>
      </c>
      <c r="I244" s="113" t="inlineStr">
        <is>
          <t>Nov 2008</t>
        </is>
      </c>
      <c r="J244" s="112" t="inlineStr">
        <is>
          <t>Commercial / Label Expansion</t>
        </is>
      </c>
      <c r="K244" s="112" t="inlineStr"/>
      <c r="L244" s="115" t="n">
        <v>69.3</v>
      </c>
      <c r="M244" s="115" t="n">
        <v>69.8</v>
      </c>
      <c r="N244" s="122" t="n">
        <v>6</v>
      </c>
      <c r="O244" s="117">
        <f>IFERROR(ROUND(M244/N244,1),"")</f>
        <v/>
      </c>
      <c r="P244" s="118">
        <f>IFERROR(IF(O244="CF+","✅ CF+",IF(O244&lt;4,"🔴 &lt;4Q",IF(O244&lt;8,"🟡 4-8Q","🟢 &gt;8Q"))),"—")</f>
        <v/>
      </c>
      <c r="Q244" s="119">
        <f>IFERROR(L244-M244,"")</f>
        <v/>
      </c>
      <c r="R244" s="120" t="n">
        <v>8.119999999999999</v>
      </c>
      <c r="S244" s="120" t="n">
        <v>1.31</v>
      </c>
      <c r="T244" s="121" t="inlineStr">
        <is>
          <t xml:space="preserve">Pulmonx Corporation, a commercial-stage medical technology company that provides a minimally invasive treatment for patients with severe emphysema, a form of chronic obstructive pulmonary disease. It </t>
        </is>
      </c>
    </row>
    <row r="245" ht="30" customHeight="1" s="89">
      <c r="A245" s="100" t="inlineStr">
        <is>
          <t>INDO</t>
        </is>
      </c>
      <c r="B245" s="101" t="inlineStr">
        <is>
          <t>Indonesia Energy Corporation Limited</t>
        </is>
      </c>
      <c r="C245" s="102" t="inlineStr">
        <is>
          <t>NYSE American (ADR)</t>
        </is>
      </c>
      <c r="D245" s="103" t="inlineStr"/>
      <c r="E245" s="101" t="inlineStr"/>
      <c r="F245" s="103" t="inlineStr"/>
      <c r="G245" s="101" t="inlineStr"/>
      <c r="H245" s="103" t="inlineStr"/>
      <c r="I245" s="102" t="inlineStr"/>
      <c r="J245" s="101" t="inlineStr"/>
      <c r="K245" s="101" t="inlineStr"/>
      <c r="L245" s="104" t="n">
        <v>68.8</v>
      </c>
      <c r="M245" s="104" t="n">
        <v>8.6</v>
      </c>
      <c r="N245" s="123" t="n">
        <v>1.2</v>
      </c>
      <c r="O245" s="106">
        <f>IFERROR(ROUND(M245/N245,1),"")</f>
        <v/>
      </c>
      <c r="P245" s="107">
        <f>IFERROR(IF(O245="CF+","✅ CF+",IF(O245&lt;4,"🔴 &lt;4Q",IF(O245&lt;8,"🟡 4-8Q","🟢 &gt;8Q"))),"—")</f>
        <v/>
      </c>
      <c r="Q245" s="108">
        <f>IFERROR(L245-M245,"")</f>
        <v/>
      </c>
      <c r="R245" s="109" t="n">
        <v>8.5</v>
      </c>
      <c r="S245" s="109" t="n">
        <v>2.1</v>
      </c>
      <c r="T245" s="110" t="inlineStr">
        <is>
          <t>Indonesia Energy Corporation Limited, together with its subsidiaries, operates as an oil and gas exploration and production company in Indonesia. Its principal assets include the Kruh Block, a produci</t>
        </is>
      </c>
    </row>
    <row r="246" ht="30" customHeight="1" s="89">
      <c r="A246" s="111" t="inlineStr">
        <is>
          <t>ANVS</t>
        </is>
      </c>
      <c r="B246" s="112" t="inlineStr">
        <is>
          <t>Annovis Bio, Inc.</t>
        </is>
      </c>
      <c r="C246" s="113" t="inlineStr">
        <is>
          <t>NYSE</t>
        </is>
      </c>
      <c r="D246" s="177" t="inlineStr">
        <is>
          <t>CNS</t>
        </is>
      </c>
      <c r="E246" s="112" t="inlineStr">
        <is>
          <t>Early Alzheimers Disease</t>
        </is>
      </c>
      <c r="F246" s="171" t="inlineStr">
        <is>
          <t>Small Molecule</t>
        </is>
      </c>
      <c r="G246" s="112" t="inlineStr">
        <is>
          <t>buntanetap/posiphen</t>
        </is>
      </c>
      <c r="H246" s="172" t="inlineStr">
        <is>
          <t>Phase 3</t>
        </is>
      </c>
      <c r="I246" s="113" t="inlineStr">
        <is>
          <t>Dec 2027</t>
        </is>
      </c>
      <c r="J246" s="112" t="inlineStr">
        <is>
          <t>Phase 3 Readout</t>
        </is>
      </c>
      <c r="K246" s="112" t="inlineStr">
        <is>
          <t>Prevail Infoworks</t>
        </is>
      </c>
      <c r="L246" s="115" t="n">
        <v>66.8</v>
      </c>
      <c r="M246" s="115" t="n">
        <v>15.3</v>
      </c>
      <c r="N246" s="122" t="n">
        <v>4.3</v>
      </c>
      <c r="O246" s="117">
        <f>IFERROR(ROUND(M246/N246,1),"")</f>
        <v/>
      </c>
      <c r="P246" s="118">
        <f>IFERROR(IF(O246="CF+","✅ CF+",IF(O246&lt;4,"🔴 &lt;4Q",IF(O246&lt;8,"🟡 4-8Q","🟢 &gt;8Q"))),"—")</f>
        <v/>
      </c>
      <c r="Q246" s="119">
        <f>IFERROR(L246-M246,"")</f>
        <v/>
      </c>
      <c r="R246" s="120" t="n">
        <v>5.5</v>
      </c>
      <c r="S246" s="120" t="n">
        <v>1.11</v>
      </c>
      <c r="T246" s="121" t="inlineStr">
        <is>
          <t xml:space="preserve">Annovis Bio, Inc., a clinical stage drug platform company, develops drugs to treat neurodegeneration in the United States. The company's lead product candidate is Buntanetap, which is in phase 2/3 to </t>
        </is>
      </c>
    </row>
    <row r="247" ht="30" customHeight="1" s="89">
      <c r="A247" s="100" t="inlineStr">
        <is>
          <t>IMA</t>
        </is>
      </c>
      <c r="B247" s="101" t="inlineStr">
        <is>
          <t>ImageneBio, Inc.</t>
        </is>
      </c>
      <c r="C247" s="102" t="inlineStr">
        <is>
          <t>NASDAQ</t>
        </is>
      </c>
      <c r="D247" s="103" t="inlineStr"/>
      <c r="E247" s="101" t="inlineStr"/>
      <c r="F247" s="103" t="inlineStr"/>
      <c r="G247" s="101" t="inlineStr"/>
      <c r="H247" s="103" t="inlineStr"/>
      <c r="I247" s="102" t="inlineStr"/>
      <c r="J247" s="101" t="inlineStr"/>
      <c r="K247" s="101" t="inlineStr"/>
      <c r="L247" s="104" t="n">
        <v>66.09999999999999</v>
      </c>
      <c r="M247" s="104" t="n">
        <v>135.3</v>
      </c>
      <c r="N247" s="123" t="n">
        <v>3.5</v>
      </c>
      <c r="O247" s="106">
        <f>IFERROR(ROUND(M247/N247,1),"")</f>
        <v/>
      </c>
      <c r="P247" s="107">
        <f>IFERROR(IF(O247="CF+","✅ CF+",IF(O247&lt;4,"🔴 &lt;4Q",IF(O247&lt;8,"🟡 4-8Q","🟢 &gt;8Q"))),"—")</f>
        <v/>
      </c>
      <c r="Q247" s="108">
        <f>IFERROR(L247-M247,"")</f>
        <v/>
      </c>
      <c r="R247" s="109" t="n">
        <v>18</v>
      </c>
      <c r="S247" s="109" t="n">
        <v>5.7</v>
      </c>
      <c r="T247" s="110" t="inlineStr">
        <is>
          <t xml:space="preserve">ImageneBio, Inc., a clinical-stage biopharmaceutical company, develops therapeutics for patients with immunological, autoimmune and inflammatory diseases. Its lead product candidate includes IMG-007, </t>
        </is>
      </c>
    </row>
    <row r="248" ht="30" customHeight="1" s="89">
      <c r="A248" s="111" t="inlineStr">
        <is>
          <t>TCRX</t>
        </is>
      </c>
      <c r="B248" s="112" t="inlineStr">
        <is>
          <t>TScan Therapeutics, Inc.</t>
        </is>
      </c>
      <c r="C248" s="113" t="inlineStr">
        <is>
          <t>NGM</t>
        </is>
      </c>
      <c r="D248" s="174" t="inlineStr">
        <is>
          <t>Oncology</t>
        </is>
      </c>
      <c r="E248" s="112" t="inlineStr">
        <is>
          <t>AML</t>
        </is>
      </c>
      <c r="F248" s="171" t="inlineStr">
        <is>
          <t>Small Molecule</t>
        </is>
      </c>
      <c r="G248" s="112" t="inlineStr">
        <is>
          <t>TSC-204-A0201</t>
        </is>
      </c>
      <c r="H248" s="174" t="inlineStr">
        <is>
          <t>Phase 1</t>
        </is>
      </c>
      <c r="I248" s="113" t="inlineStr">
        <is>
          <t>Dec 2025</t>
        </is>
      </c>
      <c r="J248" s="112" t="inlineStr">
        <is>
          <t>Phase 1 Data / Dose Escalation</t>
        </is>
      </c>
      <c r="K248" s="112" t="inlineStr"/>
      <c r="L248" s="115" t="n">
        <v>59.7</v>
      </c>
      <c r="M248" s="115" t="n">
        <v>152.4</v>
      </c>
      <c r="N248" s="122" t="n">
        <v>32.2</v>
      </c>
      <c r="O248" s="117">
        <f>IFERROR(ROUND(M248/N248,1),"")</f>
        <v/>
      </c>
      <c r="P248" s="118">
        <f>IFERROR(IF(O248="CF+","✅ CF+",IF(O248&lt;4,"🔴 &lt;4Q",IF(O248&lt;8,"🟡 4-8Q","🟢 &gt;8Q"))),"—")</f>
        <v/>
      </c>
      <c r="Q248" s="119">
        <f>IFERROR(L248-M248,"")</f>
        <v/>
      </c>
      <c r="R248" s="120" t="n">
        <v>2.57</v>
      </c>
      <c r="S248" s="120" t="n">
        <v>0.88</v>
      </c>
      <c r="T248" s="121" t="inlineStr">
        <is>
          <t>TScan Therapeutics, Inc., a clinical-stage biotechnology company, develops T cell receptor-engineered T cell (TCR-T) therapies for the treatment of patients with cancer in the United States. The compa</t>
        </is>
      </c>
    </row>
    <row r="249" ht="30" customHeight="1" s="89">
      <c r="A249" s="100" t="inlineStr">
        <is>
          <t>MGX</t>
        </is>
      </c>
      <c r="B249" s="101" t="inlineStr">
        <is>
          <t>Metagenomi Therapeutics, Inc.</t>
        </is>
      </c>
      <c r="C249" s="102" t="inlineStr">
        <is>
          <t>NASDAQ</t>
        </is>
      </c>
      <c r="D249" s="103" t="inlineStr"/>
      <c r="E249" s="101" t="inlineStr"/>
      <c r="F249" s="103" t="inlineStr"/>
      <c r="G249" s="101" t="inlineStr"/>
      <c r="H249" s="103" t="inlineStr"/>
      <c r="I249" s="102" t="inlineStr"/>
      <c r="J249" s="101" t="inlineStr"/>
      <c r="K249" s="101" t="inlineStr"/>
      <c r="L249" s="104" t="n">
        <v>54.8</v>
      </c>
      <c r="M249" s="104" t="n">
        <v>160.8</v>
      </c>
      <c r="N249" s="123" t="n">
        <v>21.3</v>
      </c>
      <c r="O249" s="106">
        <f>IFERROR(ROUND(M249/N249,1),"")</f>
        <v/>
      </c>
      <c r="P249" s="107">
        <f>IFERROR(IF(O249="CF+","✅ CF+",IF(O249&lt;4,"🔴 &lt;4Q",IF(O249&lt;8,"🟡 4-8Q","🟢 &gt;8Q"))),"—")</f>
        <v/>
      </c>
      <c r="Q249" s="108">
        <f>IFERROR(L249-M249,"")</f>
        <v/>
      </c>
      <c r="R249" s="109" t="n">
        <v>3.95</v>
      </c>
      <c r="S249" s="109" t="n">
        <v>1.23</v>
      </c>
      <c r="T249" s="110" t="inlineStr">
        <is>
          <t>Metagenomi Therapeutics, Inc. an in vivo genome editing company, develops curative genetic medicines in the United States. The company's lead development program, MGX-001, is designed to provide curat</t>
        </is>
      </c>
    </row>
    <row r="250" ht="30" customHeight="1" s="89">
      <c r="A250" s="111" t="inlineStr">
        <is>
          <t>ESLA</t>
        </is>
      </c>
      <c r="B250" s="112" t="inlineStr">
        <is>
          <t>Estrella Immunopharma, Inc.</t>
        </is>
      </c>
      <c r="C250" s="113" t="inlineStr">
        <is>
          <t>NASDAQ</t>
        </is>
      </c>
      <c r="D250" s="174" t="inlineStr">
        <is>
          <t>Oncology</t>
        </is>
      </c>
      <c r="E250" s="112" t="inlineStr">
        <is>
          <t>B-Cell Non-Hodgkin's Lymphoma (NHL)</t>
        </is>
      </c>
      <c r="F250" s="173" t="inlineStr">
        <is>
          <t>Monoclonal Ab (mAb)</t>
        </is>
      </c>
      <c r="G250" s="112" t="inlineStr">
        <is>
          <t>EB103</t>
        </is>
      </c>
      <c r="H250" s="176" t="inlineStr">
        <is>
          <t>Phase 1/2</t>
        </is>
      </c>
      <c r="I250" s="113" t="inlineStr">
        <is>
          <t>Dec 2026</t>
        </is>
      </c>
      <c r="J250" s="112" t="inlineStr">
        <is>
          <t>Phase 1/2 Data Readout</t>
        </is>
      </c>
      <c r="K250" s="112" t="inlineStr">
        <is>
          <t>Eureka Therapeutics Inc.</t>
        </is>
      </c>
      <c r="L250" s="115" t="n">
        <v>53</v>
      </c>
      <c r="M250" s="115" t="n">
        <v>1.6</v>
      </c>
      <c r="N250" s="122" t="n">
        <v>0.6</v>
      </c>
      <c r="O250" s="117">
        <f>IFERROR(ROUND(M250/N250,1),"")</f>
        <v/>
      </c>
      <c r="P250" s="118">
        <f>IFERROR(IF(O250="CF+","✅ CF+",IF(O250&lt;4,"🔴 &lt;4Q",IF(O250&lt;8,"🟡 4-8Q","🟢 &gt;8Q"))),"—")</f>
        <v/>
      </c>
      <c r="Q250" s="119">
        <f>IFERROR(L250-M250,"")</f>
        <v/>
      </c>
      <c r="R250" s="120" t="n">
        <v>3.15</v>
      </c>
      <c r="S250" s="120" t="n">
        <v>0.73</v>
      </c>
      <c r="T250" s="121" t="inlineStr">
        <is>
          <t>Estrella Immunopharma, Inc., a clinical-stage biopharmaceutical company, develops T-cell therapies for blood cancers and solid tumors in the United States. The company's lead product candidate is EB10</t>
        </is>
      </c>
    </row>
    <row r="251" ht="30" customHeight="1" s="89">
      <c r="A251" s="100" t="inlineStr">
        <is>
          <t>PRTS</t>
        </is>
      </c>
      <c r="B251" s="101" t="inlineStr">
        <is>
          <t>CarParts.com, Inc.</t>
        </is>
      </c>
      <c r="C251" s="102" t="inlineStr">
        <is>
          <t>NASDAQ</t>
        </is>
      </c>
      <c r="D251" s="103" t="inlineStr"/>
      <c r="E251" s="101" t="inlineStr"/>
      <c r="F251" s="103" t="inlineStr"/>
      <c r="G251" s="101" t="inlineStr"/>
      <c r="H251" s="103" t="inlineStr"/>
      <c r="I251" s="102" t="inlineStr"/>
      <c r="J251" s="101" t="inlineStr"/>
      <c r="K251" s="101" t="inlineStr"/>
      <c r="L251" s="104" t="n">
        <v>52.1</v>
      </c>
      <c r="M251" s="104" t="n">
        <v>25.8</v>
      </c>
      <c r="N251" s="123" t="n">
        <v>16</v>
      </c>
      <c r="O251" s="106">
        <f>IFERROR(ROUND(M251/N251,1),"")</f>
        <v/>
      </c>
      <c r="P251" s="107">
        <f>IFERROR(IF(O251="CF+","✅ CF+",IF(O251&lt;4,"🔴 &lt;4Q",IF(O251&lt;8,"🟡 4-8Q","🟢 &gt;8Q"))),"—")</f>
        <v/>
      </c>
      <c r="Q251" s="108">
        <f>IFERROR(L251-M251,"")</f>
        <v/>
      </c>
      <c r="R251" s="109" t="n">
        <v>1.36</v>
      </c>
      <c r="S251" s="109" t="n">
        <v>0.37</v>
      </c>
      <c r="T251" s="110" t="inlineStr">
        <is>
          <t>CarParts.com, Inc., together with its subsidiaries, operates as an online retailer of aftermarket auto parts and accessories in the United States and the Philippines. The company offers replacement pa</t>
        </is>
      </c>
    </row>
    <row r="252" ht="30" customHeight="1" s="89">
      <c r="A252" s="111" t="inlineStr">
        <is>
          <t>ATRA</t>
        </is>
      </c>
      <c r="B252" s="112" t="inlineStr">
        <is>
          <t>Atara Biotherapeutics, Inc.</t>
        </is>
      </c>
      <c r="C252" s="113" t="inlineStr">
        <is>
          <t>NASDAQ</t>
        </is>
      </c>
      <c r="D252" s="114" t="inlineStr"/>
      <c r="E252" s="112" t="inlineStr"/>
      <c r="F252" s="114" t="inlineStr"/>
      <c r="G252" s="112" t="inlineStr"/>
      <c r="H252" s="114" t="inlineStr"/>
      <c r="I252" s="113" t="inlineStr"/>
      <c r="J252" s="112" t="inlineStr"/>
      <c r="K252" s="112" t="inlineStr"/>
      <c r="L252" s="115" t="n">
        <v>46.9</v>
      </c>
      <c r="M252" s="115" t="n">
        <v>13.7</v>
      </c>
      <c r="N252" s="122" t="n">
        <v>8.6</v>
      </c>
      <c r="O252" s="117">
        <f>IFERROR(ROUND(M252/N252,1),"")</f>
        <v/>
      </c>
      <c r="P252" s="118">
        <f>IFERROR(IF(O252="CF+","✅ CF+",IF(O252&lt;4,"🔴 &lt;4Q",IF(O252&lt;8,"🟡 4-8Q","🟢 &gt;8Q"))),"—")</f>
        <v/>
      </c>
      <c r="Q252" s="119">
        <f>IFERROR(L252-M252,"")</f>
        <v/>
      </c>
      <c r="R252" s="120" t="n">
        <v>19.14</v>
      </c>
      <c r="S252" s="120" t="n">
        <v>3.92</v>
      </c>
      <c r="T252" s="121" t="inlineStr">
        <is>
          <t>Atara Biotherapeutics, Inc. engages in the development of transformative therapies for patients with cancer and autoimmune disease in the United States and the United Kingdom. Its lead product include</t>
        </is>
      </c>
    </row>
    <row r="253" ht="30" customHeight="1" s="89">
      <c r="A253" s="100" t="inlineStr">
        <is>
          <t>ALGS</t>
        </is>
      </c>
      <c r="B253" s="101" t="inlineStr">
        <is>
          <t>Aligos Therapeutics, Inc.</t>
        </is>
      </c>
      <c r="C253" s="102" t="inlineStr">
        <is>
          <t>NASDAQ</t>
        </is>
      </c>
      <c r="D253" s="103" t="inlineStr"/>
      <c r="E253" s="101" t="inlineStr"/>
      <c r="F253" s="103" t="inlineStr"/>
      <c r="G253" s="101" t="inlineStr"/>
      <c r="H253" s="103" t="inlineStr"/>
      <c r="I253" s="102" t="inlineStr"/>
      <c r="J253" s="101" t="inlineStr"/>
      <c r="K253" s="101" t="inlineStr"/>
      <c r="L253" s="104" t="n">
        <v>46.6</v>
      </c>
      <c r="M253" s="104" t="n">
        <v>77.8</v>
      </c>
      <c r="N253" s="123" t="n">
        <v>19.9</v>
      </c>
      <c r="O253" s="106">
        <f>IFERROR(ROUND(M253/N253,1),"")</f>
        <v/>
      </c>
      <c r="P253" s="107">
        <f>IFERROR(IF(O253="CF+","✅ CF+",IF(O253&lt;4,"🔴 &lt;4Q",IF(O253&lt;8,"🟡 4-8Q","🟢 &gt;8Q"))),"—")</f>
        <v/>
      </c>
      <c r="Q253" s="108">
        <f>IFERROR(L253-M253,"")</f>
        <v/>
      </c>
      <c r="R253" s="109" t="n">
        <v>13.69</v>
      </c>
      <c r="S253" s="109" t="n">
        <v>3.76</v>
      </c>
      <c r="T253" s="110" t="inlineStr">
        <is>
          <t xml:space="preserve">Aligos Therapeutics, Inc., a clinical-stage biopharmaceutical company, focuses on the development of novel therapeutics to address unmet medical needs in liver and viral diseases. Its drug candidate, </t>
        </is>
      </c>
    </row>
    <row r="254" ht="30" customHeight="1" s="89">
      <c r="A254" s="111" t="inlineStr">
        <is>
          <t>INKT</t>
        </is>
      </c>
      <c r="B254" s="112" t="inlineStr">
        <is>
          <t>MiNK Therapeutics, Inc.</t>
        </is>
      </c>
      <c r="C254" s="113" t="inlineStr">
        <is>
          <t>NASDAQ</t>
        </is>
      </c>
      <c r="D254" s="114" t="inlineStr"/>
      <c r="E254" s="112" t="inlineStr"/>
      <c r="F254" s="114" t="inlineStr"/>
      <c r="G254" s="112" t="inlineStr"/>
      <c r="H254" s="114" t="inlineStr"/>
      <c r="I254" s="113" t="inlineStr"/>
      <c r="J254" s="112" t="inlineStr"/>
      <c r="K254" s="112" t="inlineStr"/>
      <c r="L254" s="115" t="n">
        <v>45.7</v>
      </c>
      <c r="M254" s="115" t="n">
        <v>14.3</v>
      </c>
      <c r="N254" s="122" t="n">
        <v>1.3</v>
      </c>
      <c r="O254" s="117">
        <f>IFERROR(ROUND(M254/N254,1),"")</f>
        <v/>
      </c>
      <c r="P254" s="118">
        <f>IFERROR(IF(O254="CF+","✅ CF+",IF(O254&lt;4,"🔴 &lt;4Q",IF(O254&lt;8,"🟡 4-8Q","🟢 &gt;8Q"))),"—")</f>
        <v/>
      </c>
      <c r="Q254" s="119">
        <f>IFERROR(L254-M254,"")</f>
        <v/>
      </c>
      <c r="R254" s="120" t="n">
        <v>76</v>
      </c>
      <c r="S254" s="120" t="n">
        <v>6.34</v>
      </c>
      <c r="T254" s="121" t="inlineStr">
        <is>
          <t>MiNK Therapeutics, Inc., a clinical-stage biopharmaceutical company, engages in the discovery, development, manufacture, and commercialization of allogeneic, off-the-shelf, and invariant natural kille</t>
        </is>
      </c>
    </row>
    <row r="255" ht="30" customHeight="1" s="89">
      <c r="A255" s="100" t="inlineStr">
        <is>
          <t>EVAX</t>
        </is>
      </c>
      <c r="B255" s="101" t="inlineStr">
        <is>
          <t>Evaxion A/S</t>
        </is>
      </c>
      <c r="C255" s="102" t="inlineStr">
        <is>
          <t>NASDAQ (ADR)</t>
        </is>
      </c>
      <c r="D255" s="174" t="inlineStr">
        <is>
          <t>Oncology</t>
        </is>
      </c>
      <c r="E255" s="101" t="inlineStr">
        <is>
          <t>Melanoma Stage IV</t>
        </is>
      </c>
      <c r="F255" s="173" t="inlineStr">
        <is>
          <t>Monoclonal Ab (mAb)</t>
        </is>
      </c>
      <c r="G255" s="101" t="inlineStr">
        <is>
          <t>EVX-01</t>
        </is>
      </c>
      <c r="H255" s="168" t="inlineStr">
        <is>
          <t>Phase 2</t>
        </is>
      </c>
      <c r="I255" s="102" t="inlineStr">
        <is>
          <t>Sep 2025</t>
        </is>
      </c>
      <c r="J255" s="101" t="inlineStr">
        <is>
          <t>Phase 2 Data Readout</t>
        </is>
      </c>
      <c r="K255" s="101" t="inlineStr">
        <is>
          <t>Merck Sharp &amp; Dohme LLC</t>
        </is>
      </c>
      <c r="L255" s="104" t="n">
        <v>35.5</v>
      </c>
      <c r="M255" s="104" t="n">
        <v>23.2</v>
      </c>
      <c r="N255" s="123" t="n">
        <v>1.7</v>
      </c>
      <c r="O255" s="106">
        <f>IFERROR(ROUND(M255/N255,1),"")</f>
        <v/>
      </c>
      <c r="P255" s="107">
        <f>IFERROR(IF(O255="CF+","✅ CF+",IF(O255&lt;4,"🔴 &lt;4Q",IF(O255&lt;8,"🟡 4-8Q","🟢 &gt;8Q"))),"—")</f>
        <v/>
      </c>
      <c r="Q255" s="108">
        <f>IFERROR(L255-M255,"")</f>
        <v/>
      </c>
      <c r="R255" s="109" t="n">
        <v>12.15</v>
      </c>
      <c r="S255" s="109" t="n">
        <v>1.2</v>
      </c>
      <c r="T255" s="110" t="inlineStr">
        <is>
          <t>Evaxion A/S, a clinical-stage biotech company, develops artificial intelligence-powered immunology vaccines. The company develops EVX-01, which is in phase 2 global multi-center clinical trial for the</t>
        </is>
      </c>
    </row>
    <row r="256" ht="30" customHeight="1" s="89">
      <c r="A256" s="111" t="inlineStr">
        <is>
          <t>RMTI</t>
        </is>
      </c>
      <c r="B256" s="112" t="inlineStr">
        <is>
          <t>Rockwell Medical, Inc.</t>
        </is>
      </c>
      <c r="C256" s="113" t="inlineStr">
        <is>
          <t>NASDAQ</t>
        </is>
      </c>
      <c r="D256" s="168" t="inlineStr">
        <is>
          <t>Cardiometabolic</t>
        </is>
      </c>
      <c r="E256" s="112" t="inlineStr">
        <is>
          <t>Renal Failure Chronic Requiring Hemodialysis</t>
        </is>
      </c>
      <c r="F256" s="171" t="inlineStr">
        <is>
          <t>Small Molecule</t>
        </is>
      </c>
      <c r="G256" s="112" t="inlineStr">
        <is>
          <t>Soluble Ferric Pyrophosphate (SFP)</t>
        </is>
      </c>
      <c r="H256" s="172" t="inlineStr">
        <is>
          <t>Phase 3</t>
        </is>
      </c>
      <c r="I256" s="113" t="inlineStr">
        <is>
          <t>May 2013</t>
        </is>
      </c>
      <c r="J256" s="112" t="inlineStr">
        <is>
          <t>Phase 3 Data Readout</t>
        </is>
      </c>
      <c r="K256" s="112" t="inlineStr"/>
      <c r="L256" s="115" t="n">
        <v>35.3</v>
      </c>
      <c r="M256" s="115" t="n">
        <v>23.7</v>
      </c>
      <c r="N256" s="122" t="n">
        <v>0.5</v>
      </c>
      <c r="O256" s="117">
        <f>IFERROR(ROUND(M256/N256,1),"")</f>
        <v/>
      </c>
      <c r="P256" s="118">
        <f>IFERROR(IF(O256="CF+","✅ CF+",IF(O256&lt;4,"🔴 &lt;4Q",IF(O256&lt;8,"🟡 4-8Q","🟢 &gt;8Q"))),"—")</f>
        <v/>
      </c>
      <c r="Q256" s="119">
        <f>IFERROR(L256-M256,"")</f>
        <v/>
      </c>
      <c r="R256" s="120" t="n">
        <v>2.1</v>
      </c>
      <c r="S256" s="120" t="n">
        <v>0.78</v>
      </c>
      <c r="T256" s="121" t="inlineStr">
        <is>
          <t>Rockwell Medical, Inc., together with its subsidiaries, develops, manufactures, commercializes, and distributes various hemodialysis products for dialysis providers worldwide. The company offers citra</t>
        </is>
      </c>
    </row>
    <row r="257" ht="30" customHeight="1" s="89">
      <c r="A257" s="100" t="inlineStr">
        <is>
          <t>PDSB</t>
        </is>
      </c>
      <c r="B257" s="101" t="inlineStr">
        <is>
          <t>PDS Biotechnology Corporation</t>
        </is>
      </c>
      <c r="C257" s="102" t="inlineStr">
        <is>
          <t>NASDAQ</t>
        </is>
      </c>
      <c r="D257" s="103" t="inlineStr"/>
      <c r="E257" s="101" t="inlineStr"/>
      <c r="F257" s="103" t="inlineStr"/>
      <c r="G257" s="101" t="inlineStr"/>
      <c r="H257" s="103" t="inlineStr"/>
      <c r="I257" s="102" t="inlineStr"/>
      <c r="J257" s="101" t="inlineStr"/>
      <c r="K257" s="101" t="inlineStr"/>
      <c r="L257" s="104" t="n">
        <v>34.5</v>
      </c>
      <c r="M257" s="104" t="n">
        <v>26.2</v>
      </c>
      <c r="N257" s="123" t="n">
        <v>7.5</v>
      </c>
      <c r="O257" s="106">
        <f>IFERROR(ROUND(M257/N257,1),"")</f>
        <v/>
      </c>
      <c r="P257" s="107">
        <f>IFERROR(IF(O257="CF+","✅ CF+",IF(O257&lt;4,"🔴 &lt;4Q",IF(O257&lt;8,"🟡 4-8Q","🟢 &gt;8Q"))),"—")</f>
        <v/>
      </c>
      <c r="Q257" s="108">
        <f>IFERROR(L257-M257,"")</f>
        <v/>
      </c>
      <c r="R257" s="109" t="n">
        <v>1.92</v>
      </c>
      <c r="S257" s="109" t="n">
        <v>0.6</v>
      </c>
      <c r="T257" s="110" t="inlineStr">
        <is>
          <t xml:space="preserve">PDS Biotechnology Corporation, a clinical-stage biopharmaceutical company, developing a pipeline of targeted cancer immunotherapies. The company's lead product candidate is Versamune HPV, which is in </t>
        </is>
      </c>
    </row>
    <row r="258" ht="30" customHeight="1" s="89">
      <c r="A258" s="111" t="inlineStr">
        <is>
          <t>JSPR</t>
        </is>
      </c>
      <c r="B258" s="112" t="inlineStr">
        <is>
          <t>Jasper Therapeutics, Inc.</t>
        </is>
      </c>
      <c r="C258" s="113" t="inlineStr">
        <is>
          <t>NASDAQ</t>
        </is>
      </c>
      <c r="D258" s="169" t="inlineStr">
        <is>
          <t>Other</t>
        </is>
      </c>
      <c r="E258" s="112" t="inlineStr">
        <is>
          <t>Urticaria Chronic</t>
        </is>
      </c>
      <c r="F258" s="173" t="inlineStr">
        <is>
          <t>Monoclonal Ab (mAb)</t>
        </is>
      </c>
      <c r="G258" s="112" t="inlineStr">
        <is>
          <t>Briquilimab</t>
        </is>
      </c>
      <c r="H258" s="168" t="inlineStr">
        <is>
          <t>Phase 2</t>
        </is>
      </c>
      <c r="I258" s="113" t="inlineStr">
        <is>
          <t>Aug 2026</t>
        </is>
      </c>
      <c r="J258" s="112" t="inlineStr">
        <is>
          <t>Phase 2 Data Readout</t>
        </is>
      </c>
      <c r="K258" s="112" t="inlineStr"/>
      <c r="L258" s="115" t="n">
        <v>34.1</v>
      </c>
      <c r="M258" s="115" t="n">
        <v>50.9</v>
      </c>
      <c r="N258" s="122" t="n">
        <v>16.2</v>
      </c>
      <c r="O258" s="117">
        <f>IFERROR(ROUND(M258/N258,1),"")</f>
        <v/>
      </c>
      <c r="P258" s="118">
        <f>IFERROR(IF(O258="CF+","✅ CF+",IF(O258&lt;4,"🔴 &lt;4Q",IF(O258&lt;8,"🟡 4-8Q","🟢 &gt;8Q"))),"—")</f>
        <v/>
      </c>
      <c r="Q258" s="119">
        <f>IFERROR(L258-M258,"")</f>
        <v/>
      </c>
      <c r="R258" s="120" t="n">
        <v>7.19</v>
      </c>
      <c r="S258" s="120" t="n">
        <v>1.11</v>
      </c>
      <c r="T258" s="121" t="inlineStr">
        <is>
          <t>Jasper Therapeutics, Inc., a clinical-stage biotechnology company, focuses on developing therapeutics targeting mast and hematopoietic stem cell driven diseases. The company's lead product candidate i</t>
        </is>
      </c>
    </row>
    <row r="259" ht="30" customHeight="1" s="89">
      <c r="A259" s="100" t="inlineStr">
        <is>
          <t>OTLK</t>
        </is>
      </c>
      <c r="B259" s="101" t="inlineStr">
        <is>
          <t>Outlook Therapeutics, Inc.</t>
        </is>
      </c>
      <c r="C259" s="102" t="inlineStr">
        <is>
          <t>NASDAQ</t>
        </is>
      </c>
      <c r="D259" s="177" t="inlineStr">
        <is>
          <t>CNS</t>
        </is>
      </c>
      <c r="E259" s="101" t="inlineStr">
        <is>
          <t>Age-Related Macular Degeneration</t>
        </is>
      </c>
      <c r="F259" s="173" t="inlineStr">
        <is>
          <t>Monoclonal Ab (mAb)</t>
        </is>
      </c>
      <c r="G259" s="101" t="inlineStr">
        <is>
          <t>bevacizumab</t>
        </is>
      </c>
      <c r="H259" s="172" t="inlineStr">
        <is>
          <t>Phase 3</t>
        </is>
      </c>
      <c r="I259" s="102" t="inlineStr">
        <is>
          <t>Mar 2025</t>
        </is>
      </c>
      <c r="J259" s="101" t="inlineStr">
        <is>
          <t>Phase 3 Readout</t>
        </is>
      </c>
      <c r="K259" s="101" t="inlineStr"/>
      <c r="L259" s="104" t="n">
        <v>32.7</v>
      </c>
      <c r="M259" s="104" t="n">
        <v>8.699999999999999</v>
      </c>
      <c r="N259" s="123" t="n">
        <v>13.7</v>
      </c>
      <c r="O259" s="106">
        <f>IFERROR(ROUND(M259/N259,1),"")</f>
        <v/>
      </c>
      <c r="P259" s="107">
        <f>IFERROR(IF(O259="CF+","✅ CF+",IF(O259&lt;4,"🔴 &lt;4Q",IF(O259&lt;8,"🟡 4-8Q","🟢 &gt;8Q"))),"—")</f>
        <v/>
      </c>
      <c r="Q259" s="108">
        <f>IFERROR(L259-M259,"")</f>
        <v/>
      </c>
      <c r="R259" s="109" t="n">
        <v>3.39</v>
      </c>
      <c r="S259" s="109" t="n">
        <v>0.38</v>
      </c>
      <c r="T259" s="110" t="inlineStr">
        <is>
          <t>Outlook Therapeutics, Inc., operates as a clinical-stage biopharmaceutical company, focuses on developing and commercializing monoclonal antibodies for ophthalmic indications. Its lead product candida</t>
        </is>
      </c>
    </row>
    <row r="260" ht="30" customHeight="1" s="89">
      <c r="A260" s="111" t="inlineStr">
        <is>
          <t>BTAI</t>
        </is>
      </c>
      <c r="B260" s="112" t="inlineStr">
        <is>
          <t>BioXcel Therapeutics, Inc.</t>
        </is>
      </c>
      <c r="C260" s="113" t="inlineStr">
        <is>
          <t>NASDAQ</t>
        </is>
      </c>
      <c r="D260" s="177" t="inlineStr">
        <is>
          <t>CNS</t>
        </is>
      </c>
      <c r="E260" s="112" t="inlineStr">
        <is>
          <t>Agitation,Psychomotor</t>
        </is>
      </c>
      <c r="F260" s="171" t="inlineStr">
        <is>
          <t>Small Molecule</t>
        </is>
      </c>
      <c r="G260" s="112" t="inlineStr">
        <is>
          <t>BXCL501</t>
        </is>
      </c>
      <c r="H260" s="172" t="inlineStr">
        <is>
          <t>Phase 3</t>
        </is>
      </c>
      <c r="I260" s="113" t="inlineStr">
        <is>
          <t>Aug 2025</t>
        </is>
      </c>
      <c r="J260" s="112" t="inlineStr">
        <is>
          <t>Phase 3 Data Readout</t>
        </is>
      </c>
      <c r="K260" s="112" t="inlineStr">
        <is>
          <t>Worldwide Clinical Trials</t>
        </is>
      </c>
      <c r="L260" s="115" t="n">
        <v>32.6</v>
      </c>
      <c r="M260" s="115" t="n">
        <v>36.2</v>
      </c>
      <c r="N260" s="122" t="n">
        <v>15.7</v>
      </c>
      <c r="O260" s="117">
        <f>IFERROR(ROUND(M260/N260,1),"")</f>
        <v/>
      </c>
      <c r="P260" s="118">
        <f>IFERROR(IF(O260="CF+","✅ CF+",IF(O260&lt;4,"🔴 &lt;4Q",IF(O260&lt;8,"🟡 4-8Q","🟢 &gt;8Q"))),"—")</f>
        <v/>
      </c>
      <c r="Q260" s="119">
        <f>IFERROR(L260-M260,"")</f>
        <v/>
      </c>
      <c r="R260" s="120" t="n">
        <v>8.08</v>
      </c>
      <c r="S260" s="120" t="n">
        <v>1.17</v>
      </c>
      <c r="T260" s="121" t="inlineStr">
        <is>
          <t>BioXcel Therapeutics, Inc., together with its subsidiary, OnkosXcel Therapeutics LLC, operates as a biopharmaceutical company that utilizes artificial intelligence approaches to develop medicines in n</t>
        </is>
      </c>
    </row>
    <row r="261" ht="30" customHeight="1" s="89">
      <c r="A261" s="100" t="inlineStr">
        <is>
          <t>TPST</t>
        </is>
      </c>
      <c r="B261" s="101" t="inlineStr">
        <is>
          <t>Tempest Therapeutics, Inc.</t>
        </is>
      </c>
      <c r="C261" s="102" t="inlineStr">
        <is>
          <t>NASDAQ</t>
        </is>
      </c>
      <c r="D261" s="174" t="inlineStr">
        <is>
          <t>Oncology</t>
        </is>
      </c>
      <c r="E261" s="101" t="inlineStr">
        <is>
          <t>Advanced Liver Cancers</t>
        </is>
      </c>
      <c r="F261" s="173" t="inlineStr">
        <is>
          <t>Monoclonal Ab (mAb)</t>
        </is>
      </c>
      <c r="G261" s="101" t="inlineStr">
        <is>
          <t>Atezolizumab</t>
        </is>
      </c>
      <c r="H261" s="176" t="inlineStr">
        <is>
          <t>Phase 1/2</t>
        </is>
      </c>
      <c r="I261" s="102" t="inlineStr">
        <is>
          <t>Dec 2027</t>
        </is>
      </c>
      <c r="J261" s="101" t="inlineStr">
        <is>
          <t>Phase 1/2 Data Readout</t>
        </is>
      </c>
      <c r="K261" s="101" t="inlineStr">
        <is>
          <t>Adagene Inc; Tempest Therapeutics; NiKang Therapeutics, Inc.</t>
        </is>
      </c>
      <c r="L261" s="104" t="n">
        <v>30.5</v>
      </c>
      <c r="M261" s="104" t="n">
        <v>7.5</v>
      </c>
      <c r="N261" s="123" t="n">
        <v>7.6</v>
      </c>
      <c r="O261" s="106">
        <f>IFERROR(ROUND(M261/N261,1),"")</f>
        <v/>
      </c>
      <c r="P261" s="107">
        <f>IFERROR(IF(O261="CF+","✅ CF+",IF(O261&lt;4,"🔴 &lt;4Q",IF(O261&lt;8,"🟡 4-8Q","🟢 &gt;8Q"))),"—")</f>
        <v/>
      </c>
      <c r="Q261" s="108">
        <f>IFERROR(L261-M261,"")</f>
        <v/>
      </c>
      <c r="R261" s="109" t="n">
        <v>12.23</v>
      </c>
      <c r="S261" s="109" t="n">
        <v>2.12</v>
      </c>
      <c r="T261" s="110" t="inlineStr">
        <is>
          <t>Tempest Therapeutics, Inc., a clinical-stage biotechnology company, develops small molecule therapeutics to treat cancer. Its clinical-stage lead product candidates include Amezalpat, an oral small mo</t>
        </is>
      </c>
    </row>
  </sheetData>
  <autoFilter ref="A6:T261"/>
  <mergeCells count="5">
    <mergeCell ref="A1:T1"/>
    <mergeCell ref="A5:T5"/>
    <mergeCell ref="A4:T4"/>
    <mergeCell ref="A3:T3"/>
    <mergeCell ref="A2:T2"/>
  </mergeCells>
  <conditionalFormatting sqref="O7:O36">
    <cfRule type="cellIs" rank="0" priority="2" equalAverage="0" operator="lessThan" aboveAverage="0" dxfId="7" text="" percent="0" bottom="0">
      <formula>4</formula>
    </cfRule>
    <cfRule type="cellIs" rank="0" priority="3" equalAverage="0" operator="between" aboveAverage="0" dxfId="8" text="" percent="0" bottom="0">
      <formula>4</formula>
      <formula>8</formula>
    </cfRule>
    <cfRule type="cellIs" rank="0" priority="4" equalAverage="0" operator="greaterThan" aboveAverage="0" dxfId="9" text="" percent="0" bottom="0">
      <formula>8</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0A7E8C"/>
    <outlinePr summaryBelow="1" summaryRight="1"/>
    <pageSetUpPr fitToPage="0"/>
  </sheetPr>
  <dimension ref="A2:R20"/>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outlineLevelCol="0"/>
  <cols>
    <col width="10" customWidth="1" style="88" min="1" max="1"/>
    <col width="24" customWidth="1" style="88" min="2" max="2"/>
    <col width="20" customWidth="1" style="88" min="3" max="3"/>
    <col width="18" customWidth="1" style="88" min="4" max="4"/>
    <col width="16" customWidth="1" style="88" min="5" max="5"/>
    <col width="20" customWidth="1" style="88" min="6" max="6"/>
    <col width="16" customWidth="1" style="88" min="7" max="7"/>
    <col width="22" customWidth="1" style="88" min="8" max="8"/>
    <col width="14" customWidth="1" style="88" min="9" max="9"/>
    <col width="12" customWidth="1" style="88" min="10" max="10"/>
    <col width="16" customWidth="1" style="88" min="11" max="12"/>
    <col width="20" customWidth="1" style="88" min="13" max="13"/>
    <col width="14" customWidth="1" style="88" min="14" max="14"/>
    <col width="13" customWidth="1" style="88" min="15" max="15"/>
    <col width="14" customWidth="1" style="88" min="16" max="16"/>
    <col width="12" customWidth="1" style="88" min="17" max="17"/>
    <col width="30" customWidth="1" style="88" min="18" max="18"/>
  </cols>
  <sheetData>
    <row r="1" ht="7.5" customHeight="1" s="89"/>
    <row r="2" ht="36" customHeight="1" s="89">
      <c r="A2" s="124" t="inlineStr">
        <is>
          <t>PIPELINE DATABASE  —  Programme-Level Detail</t>
        </is>
      </c>
    </row>
    <row r="3" ht="18" customHeight="1" s="89">
      <c r="A3" s="125" t="inlineStr">
        <is>
          <t>One row per programme / drug candidate. Source: ClinicalTrials.gov, SEC Filings, Company IR. Populate manually or via Python data pipeline.</t>
        </is>
      </c>
    </row>
    <row r="4" ht="6" customHeight="1" s="89">
      <c r="A4" s="126" t="n"/>
    </row>
    <row r="5" ht="39.75" customHeight="1" s="89">
      <c r="A5" s="95" t="inlineStr">
        <is>
          <t>Ticker</t>
        </is>
      </c>
      <c r="B5" s="95" t="inlineStr">
        <is>
          <t>Company</t>
        </is>
      </c>
      <c r="C5" s="95" t="inlineStr">
        <is>
          <t>Drug / Asset Name</t>
        </is>
      </c>
      <c r="D5" s="95" t="inlineStr">
        <is>
          <t>INN / Generic Name</t>
        </is>
      </c>
      <c r="E5" s="95" t="inlineStr">
        <is>
          <t>Modality</t>
        </is>
      </c>
      <c r="F5" s="95" t="inlineStr">
        <is>
          <t>Target / MoA</t>
        </is>
      </c>
      <c r="G5" s="95" t="inlineStr">
        <is>
          <t>Therapy Area</t>
        </is>
      </c>
      <c r="H5" s="95" t="inlineStr">
        <is>
          <t>Indication</t>
        </is>
      </c>
      <c r="I5" s="95" t="inlineStr">
        <is>
          <t>Orphan Designation</t>
        </is>
      </c>
      <c r="J5" s="95" t="inlineStr">
        <is>
          <t>Dev Phase</t>
        </is>
      </c>
      <c r="K5" s="95" t="inlineStr">
        <is>
          <t>Trial ID (NCT)</t>
        </is>
      </c>
      <c r="L5" s="95" t="inlineStr">
        <is>
          <t>Est. Primary Compl.</t>
        </is>
      </c>
      <c r="M5" s="95" t="inlineStr">
        <is>
          <t>Partnership</t>
        </is>
      </c>
      <c r="N5" s="95" t="inlineStr">
        <is>
          <t>Deal Type</t>
        </is>
      </c>
      <c r="O5" s="95" t="inlineStr">
        <is>
          <t>Deal Value ($M)</t>
        </is>
      </c>
      <c r="P5" s="95" t="inlineStr">
        <is>
          <t>PDUFA / Reg. Date</t>
        </is>
      </c>
      <c r="Q5" s="95" t="inlineStr">
        <is>
          <t>Priority Review</t>
        </is>
      </c>
      <c r="R5" s="95" t="inlineStr">
        <is>
          <t>Notes</t>
        </is>
      </c>
    </row>
    <row r="6" ht="33.75" customHeight="1" s="89">
      <c r="A6" s="127" t="inlineStr">
        <is>
          <t>MRNA</t>
        </is>
      </c>
      <c r="B6" s="128" t="inlineStr">
        <is>
          <t>Moderna</t>
        </is>
      </c>
      <c r="C6" s="127" t="inlineStr">
        <is>
          <t>mRNA-4157 (V940)</t>
        </is>
      </c>
      <c r="D6" s="127" t="inlineStr">
        <is>
          <t>mRNA-4157</t>
        </is>
      </c>
      <c r="E6" s="127" t="inlineStr">
        <is>
          <t>RNA (mRNA)</t>
        </is>
      </c>
      <c r="F6" s="127" t="inlineStr">
        <is>
          <t>Neoantigen mRNA</t>
        </is>
      </c>
      <c r="G6" s="127" t="inlineStr">
        <is>
          <t>Oncology</t>
        </is>
      </c>
      <c r="H6" s="128" t="inlineStr">
        <is>
          <t>Melanoma / NSCLC</t>
        </is>
      </c>
      <c r="I6" s="127" t="inlineStr">
        <is>
          <t>No</t>
        </is>
      </c>
      <c r="J6" s="127" t="inlineStr">
        <is>
          <t>Phase 3</t>
        </is>
      </c>
      <c r="K6" s="127" t="inlineStr">
        <is>
          <t>NCT03897881</t>
        </is>
      </c>
      <c r="L6" s="127" t="inlineStr">
        <is>
          <t>H2 2025</t>
        </is>
      </c>
      <c r="M6" s="127" t="inlineStr">
        <is>
          <t>Merck (MSD)</t>
        </is>
      </c>
      <c r="N6" s="127" t="inlineStr">
        <is>
          <t>Co-develop/co-comm</t>
        </is>
      </c>
      <c r="O6" s="127" t="inlineStr">
        <is>
          <t>1000+</t>
        </is>
      </c>
      <c r="P6" s="127" t="inlineStr">
        <is>
          <t>N/A</t>
        </is>
      </c>
      <c r="Q6" s="127" t="inlineStr">
        <is>
          <t>No</t>
        </is>
      </c>
      <c r="R6" s="128" t="inlineStr">
        <is>
          <t>BLA target 2025; PD-L1+ NSCLC expansion ongoing</t>
        </is>
      </c>
    </row>
    <row r="7" ht="33.75" customHeight="1" s="89">
      <c r="A7" s="129" t="inlineStr">
        <is>
          <t>BEAM</t>
        </is>
      </c>
      <c r="B7" s="130" t="inlineStr">
        <is>
          <t>Beam Therapeutics</t>
        </is>
      </c>
      <c r="C7" s="129" t="inlineStr">
        <is>
          <t>BEAM-101</t>
        </is>
      </c>
      <c r="D7" s="129" t="inlineStr">
        <is>
          <t>BEAM-101</t>
        </is>
      </c>
      <c r="E7" s="129" t="inlineStr">
        <is>
          <t>Gene Editing</t>
        </is>
      </c>
      <c r="F7" s="129" t="inlineStr">
        <is>
          <t>BCL11A enhancer (base ed)</t>
        </is>
      </c>
      <c r="G7" s="129" t="inlineStr">
        <is>
          <t>Rare Disease</t>
        </is>
      </c>
      <c r="H7" s="130" t="inlineStr">
        <is>
          <t>Sickle Cell Disease</t>
        </is>
      </c>
      <c r="I7" s="129" t="inlineStr">
        <is>
          <t>Yes</t>
        </is>
      </c>
      <c r="J7" s="129" t="inlineStr">
        <is>
          <t>Phase 1/2</t>
        </is>
      </c>
      <c r="K7" s="129" t="inlineStr">
        <is>
          <t>NCT05456880</t>
        </is>
      </c>
      <c r="L7" s="129" t="inlineStr">
        <is>
          <t>Q2 2025</t>
        </is>
      </c>
      <c r="M7" s="129" t="inlineStr">
        <is>
          <t>Pfizer</t>
        </is>
      </c>
      <c r="N7" s="129" t="inlineStr">
        <is>
          <t>Licence</t>
        </is>
      </c>
      <c r="O7" s="129" t="n">
        <v>300</v>
      </c>
      <c r="P7" s="129" t="inlineStr">
        <is>
          <t>N/A</t>
        </is>
      </c>
      <c r="Q7" s="129" t="inlineStr">
        <is>
          <t>No</t>
        </is>
      </c>
      <c r="R7" s="130" t="inlineStr">
        <is>
          <t>Base editing; avoids DSBs; differentiates from CRISPR</t>
        </is>
      </c>
    </row>
    <row r="8" ht="33.75" customHeight="1" s="89">
      <c r="A8" s="127" t="inlineStr">
        <is>
          <t>ARWR</t>
        </is>
      </c>
      <c r="B8" s="128" t="inlineStr">
        <is>
          <t>Arrowhead Pharma</t>
        </is>
      </c>
      <c r="C8" s="127" t="inlineStr">
        <is>
          <t>Plozasiran</t>
        </is>
      </c>
      <c r="D8" s="127" t="inlineStr">
        <is>
          <t>ARO-APOC3</t>
        </is>
      </c>
      <c r="E8" s="127" t="inlineStr">
        <is>
          <t>RNA (siRNA)</t>
        </is>
      </c>
      <c r="F8" s="127" t="inlineStr">
        <is>
          <t>APOC3 silencing</t>
        </is>
      </c>
      <c r="G8" s="127" t="inlineStr">
        <is>
          <t>Cardiometabolic</t>
        </is>
      </c>
      <c r="H8" s="128" t="inlineStr">
        <is>
          <t>Hypertriglyceridaemia</t>
        </is>
      </c>
      <c r="I8" s="127" t="inlineStr">
        <is>
          <t>Yes</t>
        </is>
      </c>
      <c r="J8" s="127" t="inlineStr">
        <is>
          <t>Phase 3</t>
        </is>
      </c>
      <c r="K8" s="127" t="inlineStr">
        <is>
          <t>NCT04998201</t>
        </is>
      </c>
      <c r="L8" s="127" t="inlineStr">
        <is>
          <t>H2 2025</t>
        </is>
      </c>
      <c r="M8" s="127" t="inlineStr">
        <is>
          <t>J&amp;J / GSK</t>
        </is>
      </c>
      <c r="N8" s="127" t="inlineStr">
        <is>
          <t>Co-develop</t>
        </is>
      </c>
      <c r="O8" s="127" t="inlineStr">
        <is>
          <t>1000+</t>
        </is>
      </c>
      <c r="P8" s="127" t="inlineStr">
        <is>
          <t>N/A</t>
        </is>
      </c>
      <c r="Q8" s="127" t="inlineStr">
        <is>
          <t>No</t>
        </is>
      </c>
      <c r="R8" s="128" t="inlineStr">
        <is>
          <t>Severe hypertriglyceridaemia; broad CV risk reduction potential</t>
        </is>
      </c>
    </row>
    <row r="9" ht="33.75" customHeight="1" s="89">
      <c r="A9" s="129" t="inlineStr">
        <is>
          <t>RVMD</t>
        </is>
      </c>
      <c r="B9" s="130" t="inlineStr">
        <is>
          <t>Revolution Medicines</t>
        </is>
      </c>
      <c r="C9" s="129" t="inlineStr">
        <is>
          <t>RMC-6236</t>
        </is>
      </c>
      <c r="D9" s="129" t="inlineStr">
        <is>
          <t>RMC-6236</t>
        </is>
      </c>
      <c r="E9" s="129" t="inlineStr">
        <is>
          <t>Small Molecule</t>
        </is>
      </c>
      <c r="F9" s="129" t="inlineStr">
        <is>
          <t>RAS(ON) multi-selective</t>
        </is>
      </c>
      <c r="G9" s="129" t="inlineStr">
        <is>
          <t>Oncology</t>
        </is>
      </c>
      <c r="H9" s="130" t="inlineStr">
        <is>
          <t>PDAC / CRC / NSCLC</t>
        </is>
      </c>
      <c r="I9" s="129" t="inlineStr">
        <is>
          <t>No</t>
        </is>
      </c>
      <c r="J9" s="129" t="inlineStr">
        <is>
          <t>Phase 2</t>
        </is>
      </c>
      <c r="K9" s="129" t="inlineStr">
        <is>
          <t>NCT05379985</t>
        </is>
      </c>
      <c r="L9" s="129" t="inlineStr">
        <is>
          <t>H2 2025</t>
        </is>
      </c>
      <c r="M9" s="129" t="inlineStr">
        <is>
          <t>None</t>
        </is>
      </c>
      <c r="N9" s="129" t="inlineStr">
        <is>
          <t>—</t>
        </is>
      </c>
      <c r="O9" s="129" t="inlineStr">
        <is>
          <t>—</t>
        </is>
      </c>
      <c r="P9" s="129" t="inlineStr">
        <is>
          <t>N/A</t>
        </is>
      </c>
      <c r="Q9" s="129" t="inlineStr">
        <is>
          <t>No</t>
        </is>
      </c>
      <c r="R9" s="130" t="inlineStr">
        <is>
          <t>Pan-RAS inhibitor; covers KRAS G12X, NRAS, HRAS</t>
        </is>
      </c>
    </row>
    <row r="10" ht="33.75" customHeight="1" s="89">
      <c r="A10" s="127" t="inlineStr">
        <is>
          <t>VRTX</t>
        </is>
      </c>
      <c r="B10" s="128" t="inlineStr">
        <is>
          <t>Vertex Pharma</t>
        </is>
      </c>
      <c r="C10" s="127" t="inlineStr">
        <is>
          <t>Vanzacaftor Triple</t>
        </is>
      </c>
      <c r="D10" s="127" t="inlineStr">
        <is>
          <t>VX-522 triple</t>
        </is>
      </c>
      <c r="E10" s="127" t="inlineStr">
        <is>
          <t>Small Molecule</t>
        </is>
      </c>
      <c r="F10" s="127" t="inlineStr">
        <is>
          <t>CFTR potentiator/corrector</t>
        </is>
      </c>
      <c r="G10" s="127" t="inlineStr">
        <is>
          <t>Rare Disease</t>
        </is>
      </c>
      <c r="H10" s="128" t="inlineStr">
        <is>
          <t>Cystic Fibrosis</t>
        </is>
      </c>
      <c r="I10" s="127" t="inlineStr">
        <is>
          <t>Yes</t>
        </is>
      </c>
      <c r="J10" s="127" t="inlineStr">
        <is>
          <t>Phase 3</t>
        </is>
      </c>
      <c r="K10" s="127" t="inlineStr">
        <is>
          <t>NCT05709600</t>
        </is>
      </c>
      <c r="L10" s="127" t="inlineStr">
        <is>
          <t>H1 2025</t>
        </is>
      </c>
      <c r="M10" s="127" t="inlineStr">
        <is>
          <t>None</t>
        </is>
      </c>
      <c r="N10" s="127" t="inlineStr">
        <is>
          <t>—</t>
        </is>
      </c>
      <c r="O10" s="127" t="inlineStr">
        <is>
          <t>—</t>
        </is>
      </c>
      <c r="P10" s="127" t="inlineStr">
        <is>
          <t>NDA 2025</t>
        </is>
      </c>
      <c r="Q10" s="127" t="inlineStr">
        <is>
          <t>Yes</t>
        </is>
      </c>
      <c r="R10" s="128" t="inlineStr">
        <is>
          <t>Next-gen CF triple; once-daily dosing; broader eligible population</t>
        </is>
      </c>
    </row>
    <row r="11" ht="33.75" customHeight="1" s="89">
      <c r="A11" s="129" t="inlineStr">
        <is>
          <t>MDGL</t>
        </is>
      </c>
      <c r="B11" s="130" t="inlineStr">
        <is>
          <t>Madrigal Pharma</t>
        </is>
      </c>
      <c r="C11" s="129" t="inlineStr">
        <is>
          <t>Rezdiffra</t>
        </is>
      </c>
      <c r="D11" s="129" t="inlineStr">
        <is>
          <t>Resmetirom</t>
        </is>
      </c>
      <c r="E11" s="129" t="inlineStr">
        <is>
          <t>Small Molecule</t>
        </is>
      </c>
      <c r="F11" s="129" t="inlineStr">
        <is>
          <t>THR-beta agonist</t>
        </is>
      </c>
      <c r="G11" s="129" t="inlineStr">
        <is>
          <t>Cardiometabolic</t>
        </is>
      </c>
      <c r="H11" s="130" t="inlineStr">
        <is>
          <t>MASH (NASH)</t>
        </is>
      </c>
      <c r="I11" s="129" t="inlineStr">
        <is>
          <t>No</t>
        </is>
      </c>
      <c r="J11" s="129" t="inlineStr">
        <is>
          <t>Approved</t>
        </is>
      </c>
      <c r="K11" s="129" t="inlineStr">
        <is>
          <t>N/A</t>
        </is>
      </c>
      <c r="L11" s="129" t="inlineStr">
        <is>
          <t>Commercl</t>
        </is>
      </c>
      <c r="M11" s="129" t="inlineStr">
        <is>
          <t>None</t>
        </is>
      </c>
      <c r="N11" s="129" t="inlineStr">
        <is>
          <t>—</t>
        </is>
      </c>
      <c r="O11" s="129" t="inlineStr">
        <is>
          <t>—</t>
        </is>
      </c>
      <c r="P11" s="129" t="inlineStr">
        <is>
          <t>Approved</t>
        </is>
      </c>
      <c r="Q11" s="129" t="inlineStr">
        <is>
          <t>Yes</t>
        </is>
      </c>
      <c r="R11" s="130" t="inlineStr">
        <is>
          <t>First approved MASH treatment; FDA March 2024; large unmet need</t>
        </is>
      </c>
    </row>
    <row r="12" ht="33.75" customHeight="1" s="89">
      <c r="A12" s="127" t="inlineStr">
        <is>
          <t>KRYS</t>
        </is>
      </c>
      <c r="B12" s="128" t="inlineStr">
        <is>
          <t>Krystal Biotech</t>
        </is>
      </c>
      <c r="C12" s="127" t="inlineStr">
        <is>
          <t>Vyjuvek</t>
        </is>
      </c>
      <c r="D12" s="127" t="inlineStr">
        <is>
          <t>Beremagene gep.</t>
        </is>
      </c>
      <c r="E12" s="127" t="inlineStr">
        <is>
          <t>Gene Therapy</t>
        </is>
      </c>
      <c r="F12" s="127" t="inlineStr">
        <is>
          <t>COL7A1 gene delivery</t>
        </is>
      </c>
      <c r="G12" s="127" t="inlineStr">
        <is>
          <t>Rare Disease</t>
        </is>
      </c>
      <c r="H12" s="128" t="inlineStr">
        <is>
          <t>Dystrophic EB (RDEB)</t>
        </is>
      </c>
      <c r="I12" s="127" t="inlineStr">
        <is>
          <t>Yes</t>
        </is>
      </c>
      <c r="J12" s="127" t="inlineStr">
        <is>
          <t>Approved</t>
        </is>
      </c>
      <c r="K12" s="127" t="inlineStr">
        <is>
          <t>N/A</t>
        </is>
      </c>
      <c r="L12" s="127" t="inlineStr">
        <is>
          <t>Commercl</t>
        </is>
      </c>
      <c r="M12" s="127" t="inlineStr">
        <is>
          <t>None</t>
        </is>
      </c>
      <c r="N12" s="127" t="inlineStr">
        <is>
          <t>—</t>
        </is>
      </c>
      <c r="O12" s="127" t="inlineStr">
        <is>
          <t>—</t>
        </is>
      </c>
      <c r="P12" s="127" t="inlineStr">
        <is>
          <t>Approved</t>
        </is>
      </c>
      <c r="Q12" s="127" t="inlineStr">
        <is>
          <t>Yes</t>
        </is>
      </c>
      <c r="R12" s="128" t="inlineStr">
        <is>
          <t>Redosable topical gene therapy; only approved product of its kind</t>
        </is>
      </c>
    </row>
    <row r="13" ht="33.75" customHeight="1" s="89">
      <c r="A13" s="129" t="inlineStr">
        <is>
          <t>PRAX</t>
        </is>
      </c>
      <c r="B13" s="130" t="inlineStr">
        <is>
          <t>Praxis Precision</t>
        </is>
      </c>
      <c r="C13" s="129" t="inlineStr">
        <is>
          <t>Ulixacaltamide</t>
        </is>
      </c>
      <c r="D13" s="129" t="inlineStr">
        <is>
          <t>PRAX-944</t>
        </is>
      </c>
      <c r="E13" s="129" t="inlineStr">
        <is>
          <t>Small Molecule</t>
        </is>
      </c>
      <c r="F13" s="129" t="inlineStr">
        <is>
          <t>Nav1.2/1.6 inhibitor</t>
        </is>
      </c>
      <c r="G13" s="129" t="inlineStr">
        <is>
          <t>CNS</t>
        </is>
      </c>
      <c r="H13" s="130" t="inlineStr">
        <is>
          <t>Essential Tremor</t>
        </is>
      </c>
      <c r="I13" s="129" t="inlineStr">
        <is>
          <t>No</t>
        </is>
      </c>
      <c r="J13" s="129" t="inlineStr">
        <is>
          <t>Phase 3</t>
        </is>
      </c>
      <c r="K13" s="129" t="inlineStr">
        <is>
          <t>NCT05687188</t>
        </is>
      </c>
      <c r="L13" s="129" t="inlineStr">
        <is>
          <t>H2 2025</t>
        </is>
      </c>
      <c r="M13" s="129" t="inlineStr">
        <is>
          <t>None</t>
        </is>
      </c>
      <c r="N13" s="129" t="inlineStr">
        <is>
          <t>—</t>
        </is>
      </c>
      <c r="O13" s="129" t="inlineStr">
        <is>
          <t>—</t>
        </is>
      </c>
      <c r="P13" s="129" t="inlineStr">
        <is>
          <t>N/A</t>
        </is>
      </c>
      <c r="Q13" s="129" t="inlineStr">
        <is>
          <t>No</t>
        </is>
      </c>
      <c r="R13" s="130" t="inlineStr">
        <is>
          <t>High unmet need; differentiated from propranolol/primidone</t>
        </is>
      </c>
    </row>
    <row r="14" ht="33.75" customHeight="1" s="89">
      <c r="A14" s="127" t="inlineStr">
        <is>
          <t>PTGX</t>
        </is>
      </c>
      <c r="B14" s="128" t="inlineStr">
        <is>
          <t>Protagonist Therap.</t>
        </is>
      </c>
      <c r="C14" s="127" t="inlineStr">
        <is>
          <t>Rusfertide</t>
        </is>
      </c>
      <c r="D14" s="127" t="inlineStr">
        <is>
          <t>PTG-300</t>
        </is>
      </c>
      <c r="E14" s="127" t="inlineStr">
        <is>
          <t>Protein / Peptide</t>
        </is>
      </c>
      <c r="F14" s="127" t="inlineStr">
        <is>
          <t>Hepcidin mimetic</t>
        </is>
      </c>
      <c r="G14" s="127" t="inlineStr">
        <is>
          <t>CNS / Haematology</t>
        </is>
      </c>
      <c r="H14" s="128" t="inlineStr">
        <is>
          <t>Polycythaemia Vera</t>
        </is>
      </c>
      <c r="I14" s="127" t="inlineStr">
        <is>
          <t>Yes</t>
        </is>
      </c>
      <c r="J14" s="127" t="inlineStr">
        <is>
          <t>Phase 3</t>
        </is>
      </c>
      <c r="K14" s="127" t="inlineStr">
        <is>
          <t>NCT04057040</t>
        </is>
      </c>
      <c r="L14" s="127" t="inlineStr">
        <is>
          <t>Q2 2025</t>
        </is>
      </c>
      <c r="M14" s="127" t="inlineStr">
        <is>
          <t>J&amp;J (Janssen)</t>
        </is>
      </c>
      <c r="N14" s="127" t="inlineStr">
        <is>
          <t>Co-develop</t>
        </is>
      </c>
      <c r="O14" s="127" t="n">
        <v>850</v>
      </c>
      <c r="P14" s="127" t="inlineStr">
        <is>
          <t>2025</t>
        </is>
      </c>
      <c r="Q14" s="127" t="inlineStr">
        <is>
          <t>No</t>
        </is>
      </c>
      <c r="R14" s="128" t="inlineStr">
        <is>
          <t>NDA submission imminent; J&amp;J deal confirms value</t>
        </is>
      </c>
    </row>
    <row r="15" ht="33.75" customHeight="1" s="89">
      <c r="A15" s="129" t="inlineStr">
        <is>
          <t>HALO</t>
        </is>
      </c>
      <c r="B15" s="130" t="inlineStr">
        <is>
          <t>Halozyme</t>
        </is>
      </c>
      <c r="C15" s="129" t="inlineStr">
        <is>
          <t>ENHANZE Platform</t>
        </is>
      </c>
      <c r="D15" s="129" t="inlineStr">
        <is>
          <t>rHuPH20</t>
        </is>
      </c>
      <c r="E15" s="129" t="inlineStr">
        <is>
          <t>Protein / Peptide</t>
        </is>
      </c>
      <c r="F15" s="129" t="inlineStr">
        <is>
          <t>Hyaluronidase enzyme</t>
        </is>
      </c>
      <c r="G15" s="129" t="inlineStr">
        <is>
          <t>Cardiometabolic</t>
        </is>
      </c>
      <c r="H15" s="130" t="inlineStr">
        <is>
          <t>Drug delivery platform</t>
        </is>
      </c>
      <c r="I15" s="129" t="inlineStr">
        <is>
          <t>No</t>
        </is>
      </c>
      <c r="J15" s="129" t="inlineStr">
        <is>
          <t>Approved</t>
        </is>
      </c>
      <c r="K15" s="129" t="inlineStr">
        <is>
          <t>N/A</t>
        </is>
      </c>
      <c r="L15" s="129" t="inlineStr">
        <is>
          <t>Ongoing</t>
        </is>
      </c>
      <c r="M15" s="129" t="inlineStr">
        <is>
          <t>Roche/J&amp;J/AZ/Pfizer</t>
        </is>
      </c>
      <c r="N15" s="129" t="inlineStr">
        <is>
          <t>Royalty/licence</t>
        </is>
      </c>
      <c r="O15" s="129" t="inlineStr">
        <is>
          <t>2000+</t>
        </is>
      </c>
      <c r="P15" s="129" t="inlineStr">
        <is>
          <t>Ongoing</t>
        </is>
      </c>
      <c r="Q15" s="129" t="inlineStr">
        <is>
          <t>N/A</t>
        </is>
      </c>
      <c r="R15" s="130" t="inlineStr">
        <is>
          <t>High-quality royalty stream; asset-light; strong FCF</t>
        </is>
      </c>
    </row>
    <row r="16" ht="33.75" customHeight="1" s="89">
      <c r="A16" s="127" t="inlineStr">
        <is>
          <t>KYMR</t>
        </is>
      </c>
      <c r="B16" s="128" t="inlineStr">
        <is>
          <t>Kymera Therapeutics</t>
        </is>
      </c>
      <c r="C16" s="127" t="inlineStr">
        <is>
          <t>KT-413</t>
        </is>
      </c>
      <c r="D16" s="127" t="inlineStr">
        <is>
          <t>KT-413</t>
        </is>
      </c>
      <c r="E16" s="127" t="inlineStr">
        <is>
          <t>Small Molecule</t>
        </is>
      </c>
      <c r="F16" s="127" t="inlineStr">
        <is>
          <t>IRAK4 degrader (TPD)</t>
        </is>
      </c>
      <c r="G16" s="127" t="inlineStr">
        <is>
          <t>Oncology</t>
        </is>
      </c>
      <c r="H16" s="128" t="inlineStr">
        <is>
          <t>MYD88-mutant DLBCL</t>
        </is>
      </c>
      <c r="I16" s="127" t="inlineStr">
        <is>
          <t>No</t>
        </is>
      </c>
      <c r="J16" s="127" t="inlineStr">
        <is>
          <t>Phase 1</t>
        </is>
      </c>
      <c r="K16" s="127" t="inlineStr">
        <is>
          <t>NCT04647396</t>
        </is>
      </c>
      <c r="L16" s="127" t="inlineStr">
        <is>
          <t>H1 2025</t>
        </is>
      </c>
      <c r="M16" s="127" t="inlineStr">
        <is>
          <t>Sanofi</t>
        </is>
      </c>
      <c r="N16" s="127" t="inlineStr">
        <is>
          <t>Co-develop/opt.</t>
        </is>
      </c>
      <c r="O16" s="127" t="n">
        <v>2000</v>
      </c>
      <c r="P16" s="127" t="inlineStr">
        <is>
          <t>N/A</t>
        </is>
      </c>
      <c r="Q16" s="127" t="inlineStr">
        <is>
          <t>No</t>
        </is>
      </c>
      <c r="R16" s="128" t="inlineStr">
        <is>
          <t>TPD platform; Sanofi partnership covers immunology assets</t>
        </is>
      </c>
    </row>
    <row r="17" ht="33.75" customHeight="1" s="89">
      <c r="A17" s="129" t="inlineStr">
        <is>
          <t>RCUS</t>
        </is>
      </c>
      <c r="B17" s="130" t="inlineStr">
        <is>
          <t>Arcus Biosciences</t>
        </is>
      </c>
      <c r="C17" s="129" t="inlineStr">
        <is>
          <t>Domvanalimab</t>
        </is>
      </c>
      <c r="D17" s="129" t="inlineStr">
        <is>
          <t>AB154</t>
        </is>
      </c>
      <c r="E17" s="129" t="inlineStr">
        <is>
          <t>Monoclonal Ab (mAb)</t>
        </is>
      </c>
      <c r="F17" s="129" t="inlineStr">
        <is>
          <t>Anti-TIGIT</t>
        </is>
      </c>
      <c r="G17" s="129" t="inlineStr">
        <is>
          <t>Oncology</t>
        </is>
      </c>
      <c r="H17" s="130" t="inlineStr">
        <is>
          <t>NSCLC / HCC</t>
        </is>
      </c>
      <c r="I17" s="129" t="inlineStr">
        <is>
          <t>No</t>
        </is>
      </c>
      <c r="J17" s="129" t="inlineStr">
        <is>
          <t>Phase 3</t>
        </is>
      </c>
      <c r="K17" s="129" t="inlineStr">
        <is>
          <t>NCT04262856</t>
        </is>
      </c>
      <c r="L17" s="129" t="inlineStr">
        <is>
          <t>Q4 2025</t>
        </is>
      </c>
      <c r="M17" s="129" t="inlineStr">
        <is>
          <t>AstraZeneca / Gilead</t>
        </is>
      </c>
      <c r="N17" s="129" t="inlineStr">
        <is>
          <t>Co-develop</t>
        </is>
      </c>
      <c r="O17" s="129" t="n">
        <v>6000</v>
      </c>
      <c r="P17" s="129" t="inlineStr">
        <is>
          <t>N/A</t>
        </is>
      </c>
      <c r="Q17" s="129" t="inlineStr">
        <is>
          <t>No</t>
        </is>
      </c>
      <c r="R17" s="130" t="inlineStr">
        <is>
          <t>Fc-silent anti-TIGIT; combo with zimberelimab (anti-PD-1)</t>
        </is>
      </c>
    </row>
    <row r="18" ht="33.75" customHeight="1" s="89">
      <c r="A18" s="127" t="inlineStr">
        <is>
          <t>SAGE</t>
        </is>
      </c>
      <c r="B18" s="128" t="inlineStr">
        <is>
          <t>Sage Therapeutics</t>
        </is>
      </c>
      <c r="C18" s="127" t="inlineStr">
        <is>
          <t>SAGE-324</t>
        </is>
      </c>
      <c r="D18" s="127" t="inlineStr">
        <is>
          <t>SAGE-324</t>
        </is>
      </c>
      <c r="E18" s="127" t="inlineStr">
        <is>
          <t>Small Molecule</t>
        </is>
      </c>
      <c r="F18" s="127" t="inlineStr">
        <is>
          <t>GABA-A PAM (extrasynaptic)</t>
        </is>
      </c>
      <c r="G18" s="127" t="inlineStr">
        <is>
          <t>CNS</t>
        </is>
      </c>
      <c r="H18" s="128" t="inlineStr">
        <is>
          <t>Essential Tremor</t>
        </is>
      </c>
      <c r="I18" s="127" t="inlineStr">
        <is>
          <t>No</t>
        </is>
      </c>
      <c r="J18" s="127" t="inlineStr">
        <is>
          <t>Phase 2</t>
        </is>
      </c>
      <c r="K18" s="127" t="inlineStr">
        <is>
          <t>NCT04285177</t>
        </is>
      </c>
      <c r="L18" s="127" t="inlineStr">
        <is>
          <t>2025</t>
        </is>
      </c>
      <c r="M18" s="127" t="inlineStr">
        <is>
          <t>Biogen (Zuranolone)</t>
        </is>
      </c>
      <c r="N18" s="127" t="inlineStr">
        <is>
          <t>Co-comm (ZURN)</t>
        </is>
      </c>
      <c r="O18" s="127" t="n">
        <v>1500</v>
      </c>
      <c r="P18" s="127" t="inlineStr">
        <is>
          <t>N/A</t>
        </is>
      </c>
      <c r="Q18" s="127" t="inlineStr">
        <is>
          <t>No</t>
        </is>
      </c>
      <c r="R18" s="128" t="inlineStr">
        <is>
          <t>Novel ET mechanism; complements Zuranolone collaboration</t>
        </is>
      </c>
    </row>
    <row r="19" ht="33.75" customHeight="1" s="89">
      <c r="A19" s="129" t="inlineStr">
        <is>
          <t>IMVT</t>
        </is>
      </c>
      <c r="B19" s="130" t="inlineStr">
        <is>
          <t>Immunovant</t>
        </is>
      </c>
      <c r="C19" s="129" t="inlineStr">
        <is>
          <t>Batoclimab</t>
        </is>
      </c>
      <c r="D19" s="129" t="inlineStr">
        <is>
          <t>IMVT-1401</t>
        </is>
      </c>
      <c r="E19" s="129" t="inlineStr">
        <is>
          <t>Monoclonal Ab (mAb)</t>
        </is>
      </c>
      <c r="F19" s="129" t="inlineStr">
        <is>
          <t>Anti-FcRn</t>
        </is>
      </c>
      <c r="G19" s="129" t="inlineStr">
        <is>
          <t>Immunology</t>
        </is>
      </c>
      <c r="H19" s="130" t="inlineStr">
        <is>
          <t>Thyroid Eye Disease / MG</t>
        </is>
      </c>
      <c r="I19" s="129" t="inlineStr">
        <is>
          <t>No</t>
        </is>
      </c>
      <c r="J19" s="129" t="inlineStr">
        <is>
          <t>Phase 3</t>
        </is>
      </c>
      <c r="K19" s="129" t="inlineStr">
        <is>
          <t>NCT05304169</t>
        </is>
      </c>
      <c r="L19" s="129" t="inlineStr">
        <is>
          <t>Q1 2026</t>
        </is>
      </c>
      <c r="M19" s="129" t="inlineStr">
        <is>
          <t>Roivant Sciences</t>
        </is>
      </c>
      <c r="N19" s="129" t="inlineStr">
        <is>
          <t>Co-develop</t>
        </is>
      </c>
      <c r="O19" s="129" t="inlineStr">
        <is>
          <t>—</t>
        </is>
      </c>
      <c r="P19" s="129" t="inlineStr">
        <is>
          <t>N/A</t>
        </is>
      </c>
      <c r="Q19" s="129" t="inlineStr">
        <is>
          <t>No</t>
        </is>
      </c>
      <c r="R19" s="130" t="inlineStr">
        <is>
          <t>Broad autoimmune pipeline; TED, CIDP, MG, ITP indications</t>
        </is>
      </c>
    </row>
    <row r="20" ht="33.75" customHeight="1" s="89">
      <c r="A20" s="127" t="inlineStr">
        <is>
          <t>FOLD</t>
        </is>
      </c>
      <c r="B20" s="128" t="inlineStr">
        <is>
          <t>Amicus Therapeutics</t>
        </is>
      </c>
      <c r="C20" s="127" t="inlineStr">
        <is>
          <t>Pombiliti + Opfolda</t>
        </is>
      </c>
      <c r="D20" s="127" t="inlineStr">
        <is>
          <t>AT-GAA + DNB</t>
        </is>
      </c>
      <c r="E20" s="127" t="inlineStr">
        <is>
          <t>Protein / Peptide</t>
        </is>
      </c>
      <c r="F20" s="127" t="inlineStr">
        <is>
          <t>GAA enzyme replacement</t>
        </is>
      </c>
      <c r="G20" s="127" t="inlineStr">
        <is>
          <t>Rare Disease</t>
        </is>
      </c>
      <c r="H20" s="128" t="inlineStr">
        <is>
          <t>Late-onset Pompe Disease</t>
        </is>
      </c>
      <c r="I20" s="127" t="inlineStr">
        <is>
          <t>Yes</t>
        </is>
      </c>
      <c r="J20" s="127" t="inlineStr">
        <is>
          <t>Approved</t>
        </is>
      </c>
      <c r="K20" s="127" t="inlineStr">
        <is>
          <t>N/A</t>
        </is>
      </c>
      <c r="L20" s="127" t="inlineStr">
        <is>
          <t>Commercl</t>
        </is>
      </c>
      <c r="M20" s="127" t="inlineStr">
        <is>
          <t>None</t>
        </is>
      </c>
      <c r="N20" s="127" t="inlineStr">
        <is>
          <t>—</t>
        </is>
      </c>
      <c r="O20" s="127" t="inlineStr">
        <is>
          <t>—</t>
        </is>
      </c>
      <c r="P20" s="127" t="inlineStr">
        <is>
          <t>Approved</t>
        </is>
      </c>
      <c r="Q20" s="127" t="inlineStr">
        <is>
          <t>No</t>
        </is>
      </c>
      <c r="R20" s="128" t="inlineStr">
        <is>
          <t>Two-component therapy; superior glycan targeting vs Myozyme</t>
        </is>
      </c>
    </row>
  </sheetData>
  <autoFilter ref="A5:R5"/>
  <mergeCells count="3">
    <mergeCell ref="A3:R3"/>
    <mergeCell ref="A2:R2"/>
    <mergeCell ref="A4:R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1A5C3A"/>
    <outlinePr summaryBelow="1" summaryRight="1"/>
    <pageSetUpPr fitToPage="0"/>
  </sheetPr>
  <dimension ref="A2:P260"/>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outlineLevelCol="0"/>
  <cols>
    <col width="10" customWidth="1" style="88" min="1" max="1"/>
    <col width="24" customWidth="1" style="88" min="2" max="2"/>
    <col width="13" customWidth="1" style="88" min="3" max="4"/>
    <col width="12" customWidth="1" style="88" min="5" max="5"/>
    <col width="13" customWidth="1" style="88" min="6" max="6"/>
    <col width="14" customWidth="1" style="88" min="7" max="9"/>
    <col width="13" customWidth="1" style="88" min="10" max="11"/>
    <col width="12" customWidth="1" style="88" min="12" max="12"/>
    <col width="13" customWidth="1" style="88" min="13" max="14"/>
    <col width="12" customWidth="1" style="88" min="15" max="15"/>
    <col width="24" customWidth="1" style="88" min="16" max="16"/>
  </cols>
  <sheetData>
    <row r="1" ht="7.5" customHeight="1" s="89"/>
    <row r="2" ht="36" customHeight="1" s="89">
      <c r="A2" s="131" t="inlineStr">
        <is>
          <t>FINANCIALS DATABASE  —  Company-Level Financial Metrics</t>
        </is>
      </c>
    </row>
    <row r="3" ht="18" customHeight="1" s="89">
      <c r="A3" s="132" t="inlineStr">
        <is>
          <t>Source: SEC EDGAR 10-K/10-Q filings. Cash = most recent quarter end. Burn = average quarterly OpEx (cash). Runway = Cash ÷ Quarterly Burn.</t>
        </is>
      </c>
    </row>
    <row r="4" ht="6" customHeight="1" s="89">
      <c r="A4" s="133" t="n"/>
    </row>
    <row r="5" ht="39.75" customHeight="1" s="89">
      <c r="A5" s="97" t="inlineStr">
        <is>
          <t>Ticker</t>
        </is>
      </c>
      <c r="B5" s="97" t="inlineStr">
        <is>
          <t>Company</t>
        </is>
      </c>
      <c r="C5" s="97" t="inlineStr">
        <is>
          <t>Filing Date</t>
        </is>
      </c>
      <c r="D5" s="97" t="inlineStr">
        <is>
          <t>Mkt Cap ($M)</t>
        </is>
      </c>
      <c r="E5" s="97" t="inlineStr">
        <is>
          <t>Share Price ($)</t>
        </is>
      </c>
      <c r="F5" s="97" t="inlineStr">
        <is>
          <t>Shares Out (M)</t>
        </is>
      </c>
      <c r="G5" s="97" t="inlineStr">
        <is>
          <t>Cash &amp; Equiv ($M)</t>
        </is>
      </c>
      <c r="H5" s="97" t="inlineStr">
        <is>
          <t>Short-term Inv ($M)</t>
        </is>
      </c>
      <c r="I5" s="97" t="inlineStr">
        <is>
          <t>Total Liquid ($M)</t>
        </is>
      </c>
      <c r="J5" s="97" t="inlineStr">
        <is>
          <t>Qtrly Burn ($M)</t>
        </is>
      </c>
      <c r="K5" s="97" t="inlineStr">
        <is>
          <t>Runway (Qtrs)</t>
        </is>
      </c>
      <c r="L5" s="97" t="inlineStr">
        <is>
          <t>Runway Flag</t>
        </is>
      </c>
      <c r="M5" s="97" t="inlineStr">
        <is>
          <t>Revenue ($M) TTM</t>
        </is>
      </c>
      <c r="N5" s="97" t="inlineStr">
        <is>
          <t>Rev Growth YoY</t>
        </is>
      </c>
      <c r="O5" s="97" t="inlineStr">
        <is>
          <t>EV ($M)</t>
        </is>
      </c>
      <c r="P5" s="97" t="inlineStr">
        <is>
          <t>Data Source</t>
        </is>
      </c>
    </row>
    <row r="6" ht="22" customHeight="1" s="89">
      <c r="A6" s="118" t="inlineStr">
        <is>
          <t>MSFT</t>
        </is>
      </c>
      <c r="B6" s="134" t="inlineStr">
        <is>
          <t>Microsoft Corporation</t>
        </is>
      </c>
      <c r="C6" s="135" t="inlineStr">
        <is>
          <t>Mar 2026</t>
        </is>
      </c>
      <c r="D6" s="119" t="n">
        <v>2939877.1</v>
      </c>
      <c r="E6" s="136" t="n">
        <v>395.55</v>
      </c>
      <c r="F6" s="119" t="n">
        <v>7425.6</v>
      </c>
      <c r="G6" s="119" t="n">
        <v>89462</v>
      </c>
      <c r="H6" s="119" t="n"/>
      <c r="I6" s="119" t="n">
        <v>89462</v>
      </c>
      <c r="J6" s="119" t="n"/>
      <c r="K6" s="117" t="inlineStr">
        <is>
          <t>CF+</t>
        </is>
      </c>
      <c r="L6" s="118" t="inlineStr">
        <is>
          <t>✅ CF+</t>
        </is>
      </c>
      <c r="M6" s="135" t="n"/>
      <c r="N6" s="135" t="n"/>
      <c r="O6" s="119">
        <f>IFERROR(D6-G6,"")</f>
        <v/>
      </c>
      <c r="P6" s="137" t="inlineStr">
        <is>
          <t>yFinance / SEC EDGAR, Mar 2026</t>
        </is>
      </c>
    </row>
    <row r="7" ht="22" customHeight="1" s="89">
      <c r="A7" s="138" t="inlineStr">
        <is>
          <t>GILD</t>
        </is>
      </c>
      <c r="B7" s="139" t="inlineStr">
        <is>
          <t>Gilead Sciences, Inc.</t>
        </is>
      </c>
      <c r="C7" s="140" t="inlineStr">
        <is>
          <t>Mar 2026</t>
        </is>
      </c>
      <c r="D7" s="141" t="n">
        <v>179993.6</v>
      </c>
      <c r="E7" s="142" t="n">
        <v>144.99</v>
      </c>
      <c r="F7" s="141" t="n">
        <v>1241.4</v>
      </c>
      <c r="G7" s="141" t="n">
        <v>9613</v>
      </c>
      <c r="H7" s="141" t="n"/>
      <c r="I7" s="141" t="n">
        <v>9613</v>
      </c>
      <c r="J7" s="141" t="n"/>
      <c r="K7" s="143" t="inlineStr">
        <is>
          <t>CF+</t>
        </is>
      </c>
      <c r="L7" s="138" t="inlineStr">
        <is>
          <t>✅ CF+</t>
        </is>
      </c>
      <c r="M7" s="140" t="n"/>
      <c r="N7" s="140" t="n"/>
      <c r="O7" s="141">
        <f>IFERROR(D7-G7,"")</f>
        <v/>
      </c>
      <c r="P7" s="144" t="inlineStr">
        <is>
          <t>yFinance / SEC EDGAR, Mar 2026</t>
        </is>
      </c>
    </row>
    <row r="8" ht="22" customHeight="1" s="89">
      <c r="A8" s="118" t="inlineStr">
        <is>
          <t>VRTX</t>
        </is>
      </c>
      <c r="B8" s="134" t="inlineStr">
        <is>
          <t>Vertex Pharmaceuticals Incorporated</t>
        </is>
      </c>
      <c r="C8" s="135" t="inlineStr">
        <is>
          <t>Mar 2026</t>
        </is>
      </c>
      <c r="D8" s="119" t="n">
        <v>119228.4</v>
      </c>
      <c r="E8" s="136" t="n">
        <v>469.34</v>
      </c>
      <c r="F8" s="119" t="n">
        <v>254</v>
      </c>
      <c r="G8" s="119" t="n">
        <v>6608.1</v>
      </c>
      <c r="H8" s="119" t="n"/>
      <c r="I8" s="119" t="n">
        <v>6608.1</v>
      </c>
      <c r="J8" s="119" t="n"/>
      <c r="K8" s="117" t="inlineStr">
        <is>
          <t>CF+</t>
        </is>
      </c>
      <c r="L8" s="118" t="inlineStr">
        <is>
          <t>✅ CF+</t>
        </is>
      </c>
      <c r="M8" s="135" t="n"/>
      <c r="N8" s="135" t="n"/>
      <c r="O8" s="119">
        <f>IFERROR(D8-G8,"")</f>
        <v/>
      </c>
      <c r="P8" s="137" t="inlineStr">
        <is>
          <t>yFinance / SEC EDGAR, Mar 2026</t>
        </is>
      </c>
    </row>
    <row r="9" ht="22" customHeight="1" s="89">
      <c r="A9" s="138" t="inlineStr">
        <is>
          <t>REGN</t>
        </is>
      </c>
      <c r="B9" s="139" t="inlineStr">
        <is>
          <t>Regeneron Pharmaceuticals, Inc.</t>
        </is>
      </c>
      <c r="C9" s="140" t="inlineStr">
        <is>
          <t>Mar 2026</t>
        </is>
      </c>
      <c r="D9" s="141" t="n">
        <v>78842.7</v>
      </c>
      <c r="E9" s="142" t="n">
        <v>745.77</v>
      </c>
      <c r="F9" s="141" t="n">
        <v>103.9</v>
      </c>
      <c r="G9" s="141" t="n">
        <v>8605.200000000001</v>
      </c>
      <c r="H9" s="141" t="n"/>
      <c r="I9" s="141" t="n">
        <v>8605.200000000001</v>
      </c>
      <c r="J9" s="141" t="n"/>
      <c r="K9" s="143" t="inlineStr">
        <is>
          <t>CF+</t>
        </is>
      </c>
      <c r="L9" s="138" t="inlineStr">
        <is>
          <t>✅ CF+</t>
        </is>
      </c>
      <c r="M9" s="140" t="n"/>
      <c r="N9" s="140" t="n"/>
      <c r="O9" s="141">
        <f>IFERROR(D9-G9,"")</f>
        <v/>
      </c>
      <c r="P9" s="144" t="inlineStr">
        <is>
          <t>yFinance / SEC EDGAR, Mar 2026</t>
        </is>
      </c>
    </row>
    <row r="10" ht="22" customHeight="1" s="89">
      <c r="A10" s="118" t="inlineStr">
        <is>
          <t>ARGX</t>
        </is>
      </c>
      <c r="B10" s="134" t="inlineStr">
        <is>
          <t>argenx SE</t>
        </is>
      </c>
      <c r="C10" s="135" t="inlineStr">
        <is>
          <t>Mar 2026</t>
        </is>
      </c>
      <c r="D10" s="119" t="n">
        <v>43346.2</v>
      </c>
      <c r="E10" s="136" t="n">
        <v>700.45</v>
      </c>
      <c r="F10" s="119" t="n">
        <v>61.9</v>
      </c>
      <c r="G10" s="119" t="n">
        <v>4440</v>
      </c>
      <c r="H10" s="119" t="n"/>
      <c r="I10" s="119" t="n">
        <v>4440</v>
      </c>
      <c r="J10" s="119" t="n"/>
      <c r="K10" s="117" t="inlineStr">
        <is>
          <t>CF+</t>
        </is>
      </c>
      <c r="L10" s="118" t="inlineStr">
        <is>
          <t>✅ CF+</t>
        </is>
      </c>
      <c r="M10" s="135" t="n"/>
      <c r="N10" s="135" t="n"/>
      <c r="O10" s="119">
        <f>IFERROR(D10-G10,"")</f>
        <v/>
      </c>
      <c r="P10" s="137" t="inlineStr">
        <is>
          <t>yFinance / SEC EDGAR, Mar 2026</t>
        </is>
      </c>
    </row>
    <row r="11" ht="22" customHeight="1" s="89">
      <c r="A11" s="138" t="inlineStr">
        <is>
          <t>ALNY</t>
        </is>
      </c>
      <c r="B11" s="139" t="inlineStr">
        <is>
          <t>Alnylam Pharmaceuticals, Inc.</t>
        </is>
      </c>
      <c r="C11" s="140" t="inlineStr">
        <is>
          <t>Mar 2026</t>
        </is>
      </c>
      <c r="D11" s="141" t="n">
        <v>41565.4</v>
      </c>
      <c r="E11" s="142" t="n">
        <v>313.41</v>
      </c>
      <c r="F11" s="141" t="n">
        <v>132.6</v>
      </c>
      <c r="G11" s="141" t="n">
        <v>2908.5</v>
      </c>
      <c r="H11" s="141" t="n"/>
      <c r="I11" s="141" t="n">
        <v>2908.5</v>
      </c>
      <c r="J11" s="141" t="n"/>
      <c r="K11" s="143" t="inlineStr">
        <is>
          <t>CF+</t>
        </is>
      </c>
      <c r="L11" s="138" t="inlineStr">
        <is>
          <t>✅ CF+</t>
        </is>
      </c>
      <c r="M11" s="140" t="n"/>
      <c r="N11" s="140" t="n"/>
      <c r="O11" s="141">
        <f>IFERROR(D11-G11,"")</f>
        <v/>
      </c>
      <c r="P11" s="144" t="inlineStr">
        <is>
          <t>yFinance / SEC EDGAR, Mar 2026</t>
        </is>
      </c>
    </row>
    <row r="12" ht="22" customHeight="1" s="89">
      <c r="A12" s="118" t="inlineStr">
        <is>
          <t>NTRA</t>
        </is>
      </c>
      <c r="B12" s="134" t="inlineStr">
        <is>
          <t>Natera, Inc.</t>
        </is>
      </c>
      <c r="C12" s="135" t="inlineStr">
        <is>
          <t>Mar 2026</t>
        </is>
      </c>
      <c r="D12" s="119" t="n">
        <v>26624.2</v>
      </c>
      <c r="E12" s="136" t="n">
        <v>187.85</v>
      </c>
      <c r="F12" s="119" t="n">
        <v>141.7</v>
      </c>
      <c r="G12" s="119" t="n">
        <v>1076.1</v>
      </c>
      <c r="H12" s="119" t="n"/>
      <c r="I12" s="119" t="n">
        <v>1076.1</v>
      </c>
      <c r="J12" s="119" t="n"/>
      <c r="K12" s="117" t="inlineStr">
        <is>
          <t>CF+</t>
        </is>
      </c>
      <c r="L12" s="118" t="inlineStr">
        <is>
          <t>✅ CF+</t>
        </is>
      </c>
      <c r="M12" s="135" t="n"/>
      <c r="N12" s="135" t="n"/>
      <c r="O12" s="119">
        <f>IFERROR(D12-G12,"")</f>
        <v/>
      </c>
      <c r="P12" s="137" t="inlineStr">
        <is>
          <t>yFinance / SEC EDGAR, Mar 2026</t>
        </is>
      </c>
    </row>
    <row r="13" ht="22" customHeight="1" s="89">
      <c r="A13" s="138" t="inlineStr">
        <is>
          <t>RPRX</t>
        </is>
      </c>
      <c r="B13" s="139" t="inlineStr">
        <is>
          <t>Royalty Pharma plc</t>
        </is>
      </c>
      <c r="C13" s="140" t="inlineStr">
        <is>
          <t>Mar 2026</t>
        </is>
      </c>
      <c r="D13" s="141" t="n">
        <v>26404.4</v>
      </c>
      <c r="E13" s="142" t="n">
        <v>45.65</v>
      </c>
      <c r="F13" s="141" t="n">
        <v>428.4</v>
      </c>
      <c r="G13" s="141" t="n">
        <v>637.5</v>
      </c>
      <c r="H13" s="141" t="n"/>
      <c r="I13" s="141" t="n">
        <v>637.5</v>
      </c>
      <c r="J13" s="141" t="n"/>
      <c r="K13" s="143" t="inlineStr">
        <is>
          <t>CF+</t>
        </is>
      </c>
      <c r="L13" s="138" t="inlineStr">
        <is>
          <t>✅ CF+</t>
        </is>
      </c>
      <c r="M13" s="140" t="n"/>
      <c r="N13" s="140" t="n"/>
      <c r="O13" s="141">
        <f>IFERROR(D13-G13,"")</f>
        <v/>
      </c>
      <c r="P13" s="144" t="inlineStr">
        <is>
          <t>yFinance / SEC EDGAR, Mar 2026</t>
        </is>
      </c>
    </row>
    <row r="14" ht="22" customHeight="1" s="89">
      <c r="A14" s="118" t="inlineStr">
        <is>
          <t>DXCM</t>
        </is>
      </c>
      <c r="B14" s="134" t="inlineStr">
        <is>
          <t>DexCom, Inc.</t>
        </is>
      </c>
      <c r="C14" s="135" t="inlineStr">
        <is>
          <t>Mar 2026</t>
        </is>
      </c>
      <c r="D14" s="119" t="n">
        <v>25054.6</v>
      </c>
      <c r="E14" s="136" t="n">
        <v>64.23999999999999</v>
      </c>
      <c r="F14" s="119" t="n">
        <v>384.9</v>
      </c>
      <c r="G14" s="119" t="n">
        <v>1998.7</v>
      </c>
      <c r="H14" s="119" t="n"/>
      <c r="I14" s="119" t="n">
        <v>1998.7</v>
      </c>
      <c r="J14" s="119" t="n"/>
      <c r="K14" s="117" t="inlineStr">
        <is>
          <t>CF+</t>
        </is>
      </c>
      <c r="L14" s="118" t="inlineStr">
        <is>
          <t>✅ CF+</t>
        </is>
      </c>
      <c r="M14" s="135" t="n"/>
      <c r="N14" s="135" t="n"/>
      <c r="O14" s="119">
        <f>IFERROR(D14-G14,"")</f>
        <v/>
      </c>
      <c r="P14" s="137" t="inlineStr">
        <is>
          <t>yFinance / SEC EDGAR, Mar 2026</t>
        </is>
      </c>
    </row>
    <row r="15" ht="22" customHeight="1" s="89">
      <c r="A15" s="138" t="inlineStr">
        <is>
          <t>UTHR</t>
        </is>
      </c>
      <c r="B15" s="139" t="inlineStr">
        <is>
          <t>United Therapeutics Corporation</t>
        </is>
      </c>
      <c r="C15" s="140" t="inlineStr">
        <is>
          <t>Mar 2026</t>
        </is>
      </c>
      <c r="D15" s="141" t="n">
        <v>23496.9</v>
      </c>
      <c r="E15" s="142" t="n">
        <v>536.12</v>
      </c>
      <c r="F15" s="141" t="n">
        <v>43.8</v>
      </c>
      <c r="G15" s="141" t="n">
        <v>2920.3</v>
      </c>
      <c r="H15" s="141" t="n"/>
      <c r="I15" s="141" t="n">
        <v>2920.3</v>
      </c>
      <c r="J15" s="141" t="n"/>
      <c r="K15" s="143" t="inlineStr">
        <is>
          <t>CF+</t>
        </is>
      </c>
      <c r="L15" s="138" t="inlineStr">
        <is>
          <t>✅ CF+</t>
        </is>
      </c>
      <c r="M15" s="140" t="n"/>
      <c r="N15" s="140" t="n"/>
      <c r="O15" s="141">
        <f>IFERROR(D15-G15,"")</f>
        <v/>
      </c>
      <c r="P15" s="144" t="inlineStr">
        <is>
          <t>yFinance / SEC EDGAR, Mar 2026</t>
        </is>
      </c>
    </row>
    <row r="16" ht="22" customHeight="1" s="89">
      <c r="A16" s="118" t="inlineStr">
        <is>
          <t>BNTX</t>
        </is>
      </c>
      <c r="B16" s="134" t="inlineStr">
        <is>
          <t>BioNTech SE</t>
        </is>
      </c>
      <c r="C16" s="135" t="inlineStr">
        <is>
          <t>Mar 2026</t>
        </is>
      </c>
      <c r="D16" s="119" t="n">
        <v>22882.4</v>
      </c>
      <c r="E16" s="136" t="n">
        <v>91.19</v>
      </c>
      <c r="F16" s="119" t="n">
        <v>250.9</v>
      </c>
      <c r="G16" s="119" t="n">
        <v>13740.6</v>
      </c>
      <c r="H16" s="119" t="n"/>
      <c r="I16" s="119" t="n">
        <v>13740.6</v>
      </c>
      <c r="J16" s="119" t="n"/>
      <c r="K16" s="117" t="inlineStr">
        <is>
          <t>CF+</t>
        </is>
      </c>
      <c r="L16" s="118" t="inlineStr">
        <is>
          <t>✅ CF+</t>
        </is>
      </c>
      <c r="M16" s="135" t="n"/>
      <c r="N16" s="135" t="n"/>
      <c r="O16" s="119">
        <f>IFERROR(D16-G16,"")</f>
        <v/>
      </c>
      <c r="P16" s="137" t="inlineStr">
        <is>
          <t>yFinance / SEC EDGAR, Mar 2026</t>
        </is>
      </c>
    </row>
    <row r="17" ht="22" customHeight="1" s="89">
      <c r="A17" s="138" t="inlineStr">
        <is>
          <t>MRNA</t>
        </is>
      </c>
      <c r="B17" s="139" t="inlineStr">
        <is>
          <t>Moderna, Inc.</t>
        </is>
      </c>
      <c r="C17" s="140" t="inlineStr">
        <is>
          <t>Mar 2026</t>
        </is>
      </c>
      <c r="D17" s="141" t="n">
        <v>20758</v>
      </c>
      <c r="E17" s="142" t="n">
        <v>52.56</v>
      </c>
      <c r="F17" s="141" t="n">
        <v>394.9</v>
      </c>
      <c r="G17" s="141" t="n">
        <v>5799</v>
      </c>
      <c r="H17" s="141" t="n"/>
      <c r="I17" s="141" t="n">
        <v>5799</v>
      </c>
      <c r="J17" s="141" t="n">
        <v>468.2</v>
      </c>
      <c r="K17" s="143">
        <f>IFERROR(ROUND(G17/J17,1),"")</f>
        <v/>
      </c>
      <c r="L17" s="138">
        <f>IFERROR(IF(K17&lt;4,"🔴 &lt;4Q",IF(K17&lt;8,"🟡 4-8Q","🟢 &gt;8Q")),"—")</f>
        <v/>
      </c>
      <c r="M17" s="140" t="n"/>
      <c r="N17" s="140" t="n"/>
      <c r="O17" s="141">
        <f>IFERROR(D17-G17,"")</f>
        <v/>
      </c>
      <c r="P17" s="144" t="inlineStr">
        <is>
          <t>yFinance / SEC EDGAR, Mar 2026</t>
        </is>
      </c>
    </row>
    <row r="18" ht="22" customHeight="1" s="89">
      <c r="A18" s="118" t="inlineStr">
        <is>
          <t>RVMD</t>
        </is>
      </c>
      <c r="B18" s="134" t="inlineStr">
        <is>
          <t>Revolution Medicines, Inc.</t>
        </is>
      </c>
      <c r="C18" s="135" t="inlineStr">
        <is>
          <t>Mar 2026</t>
        </is>
      </c>
      <c r="D18" s="119" t="n">
        <v>18798.7</v>
      </c>
      <c r="E18" s="136" t="n">
        <v>94.86</v>
      </c>
      <c r="F18" s="119" t="n">
        <v>198.2</v>
      </c>
      <c r="G18" s="119" t="n">
        <v>2025.7</v>
      </c>
      <c r="H18" s="119" t="n"/>
      <c r="I18" s="119" t="n">
        <v>2025.7</v>
      </c>
      <c r="J18" s="119" t="n">
        <v>240.8</v>
      </c>
      <c r="K18" s="117">
        <f>IFERROR(ROUND(G18/J18,1),"")</f>
        <v/>
      </c>
      <c r="L18" s="118">
        <f>IFERROR(IF(K18&lt;4,"🔴 &lt;4Q",IF(K18&lt;8,"🟡 4-8Q","🟢 &gt;8Q")),"—")</f>
        <v/>
      </c>
      <c r="M18" s="135" t="n"/>
      <c r="N18" s="135" t="n"/>
      <c r="O18" s="119">
        <f>IFERROR(D18-G18,"")</f>
        <v/>
      </c>
      <c r="P18" s="137" t="inlineStr">
        <is>
          <t>yFinance / SEC EDGAR, Mar 2026</t>
        </is>
      </c>
    </row>
    <row r="19" ht="22" customHeight="1" s="89">
      <c r="A19" s="138" t="inlineStr">
        <is>
          <t>INCY</t>
        </is>
      </c>
      <c r="B19" s="139" t="inlineStr">
        <is>
          <t>Incyte Corporation</t>
        </is>
      </c>
      <c r="C19" s="140" t="inlineStr">
        <is>
          <t>Mar 2026</t>
        </is>
      </c>
      <c r="D19" s="141" t="n">
        <v>18416.8</v>
      </c>
      <c r="E19" s="142" t="n">
        <v>92.54000000000001</v>
      </c>
      <c r="F19" s="141" t="n">
        <v>199</v>
      </c>
      <c r="G19" s="141" t="n">
        <v>3580.6</v>
      </c>
      <c r="H19" s="141" t="n"/>
      <c r="I19" s="141" t="n">
        <v>3580.6</v>
      </c>
      <c r="J19" s="141" t="n"/>
      <c r="K19" s="143" t="inlineStr">
        <is>
          <t>CF+</t>
        </is>
      </c>
      <c r="L19" s="138" t="inlineStr">
        <is>
          <t>✅ CF+</t>
        </is>
      </c>
      <c r="M19" s="140" t="n"/>
      <c r="N19" s="140" t="n"/>
      <c r="O19" s="141">
        <f>IFERROR(D19-G19,"")</f>
        <v/>
      </c>
      <c r="P19" s="144" t="inlineStr">
        <is>
          <t>yFinance / SEC EDGAR, Mar 2026</t>
        </is>
      </c>
    </row>
    <row r="20" ht="22" customHeight="1" s="89">
      <c r="A20" s="118" t="inlineStr">
        <is>
          <t>MKSI</t>
        </is>
      </c>
      <c r="B20" s="134" t="inlineStr">
        <is>
          <t>MKS Inc.</t>
        </is>
      </c>
      <c r="C20" s="135" t="inlineStr">
        <is>
          <t>Mar 2026</t>
        </is>
      </c>
      <c r="D20" s="119" t="n">
        <v>14354.2</v>
      </c>
      <c r="E20" s="136" t="n">
        <v>213.45</v>
      </c>
      <c r="F20" s="119" t="n">
        <v>67.2</v>
      </c>
      <c r="G20" s="119" t="n">
        <v>675</v>
      </c>
      <c r="H20" s="119" t="n"/>
      <c r="I20" s="119" t="n">
        <v>675</v>
      </c>
      <c r="J20" s="119" t="n"/>
      <c r="K20" s="117" t="inlineStr">
        <is>
          <t>CF+</t>
        </is>
      </c>
      <c r="L20" s="118" t="inlineStr">
        <is>
          <t>✅ CF+</t>
        </is>
      </c>
      <c r="M20" s="135" t="n"/>
      <c r="N20" s="135" t="n"/>
      <c r="O20" s="119">
        <f>IFERROR(D20-G20,"")</f>
        <v/>
      </c>
      <c r="P20" s="137" t="inlineStr">
        <is>
          <t>yFinance / SEC EDGAR, Mar 2026</t>
        </is>
      </c>
    </row>
    <row r="21" ht="22" customHeight="1" s="89">
      <c r="A21" s="138" t="inlineStr">
        <is>
          <t>ASND</t>
        </is>
      </c>
      <c r="B21" s="139" t="inlineStr">
        <is>
          <t>Ascendis Pharma A/S</t>
        </is>
      </c>
      <c r="C21" s="140" t="inlineStr">
        <is>
          <t>Mar 2026</t>
        </is>
      </c>
      <c r="D21" s="141" t="n">
        <v>13873.6</v>
      </c>
      <c r="E21" s="142" t="n">
        <v>225.98</v>
      </c>
      <c r="F21" s="141" t="n">
        <v>61.4</v>
      </c>
      <c r="G21" s="141" t="n">
        <v>616</v>
      </c>
      <c r="H21" s="141" t="n"/>
      <c r="I21" s="141" t="n">
        <v>616</v>
      </c>
      <c r="J21" s="141" t="n"/>
      <c r="K21" s="143" t="inlineStr">
        <is>
          <t>CF+</t>
        </is>
      </c>
      <c r="L21" s="138" t="inlineStr">
        <is>
          <t>✅ CF+</t>
        </is>
      </c>
      <c r="M21" s="140" t="n"/>
      <c r="N21" s="140" t="n"/>
      <c r="O21" s="141">
        <f>IFERROR(D21-G21,"")</f>
        <v/>
      </c>
      <c r="P21" s="144" t="inlineStr">
        <is>
          <t>yFinance / SEC EDGAR, Mar 2026</t>
        </is>
      </c>
    </row>
    <row r="22" ht="22" customHeight="1" s="89">
      <c r="A22" s="118" t="inlineStr">
        <is>
          <t>BBIO</t>
        </is>
      </c>
      <c r="B22" s="134" t="inlineStr">
        <is>
          <t>BridgeBio Pharma, Inc.</t>
        </is>
      </c>
      <c r="C22" s="135" t="inlineStr">
        <is>
          <t>Mar 2026</t>
        </is>
      </c>
      <c r="D22" s="119" t="n">
        <v>13456</v>
      </c>
      <c r="E22" s="136" t="n">
        <v>69.41</v>
      </c>
      <c r="F22" s="119" t="n">
        <v>193.9</v>
      </c>
      <c r="G22" s="119" t="n">
        <v>587.5</v>
      </c>
      <c r="H22" s="119" t="n"/>
      <c r="I22" s="119" t="n">
        <v>587.5</v>
      </c>
      <c r="J22" s="119" t="n">
        <v>83</v>
      </c>
      <c r="K22" s="117">
        <f>IFERROR(ROUND(G22/J22,1),"")</f>
        <v/>
      </c>
      <c r="L22" s="118">
        <f>IFERROR(IF(K22&lt;4,"🔴 &lt;4Q",IF(K22&lt;8,"🟡 4-8Q","🟢 &gt;8Q")),"—")</f>
        <v/>
      </c>
      <c r="M22" s="135" t="n"/>
      <c r="N22" s="135" t="n"/>
      <c r="O22" s="119">
        <f>IFERROR(D22-G22,"")</f>
        <v/>
      </c>
      <c r="P22" s="137" t="inlineStr">
        <is>
          <t>yFinance / SEC EDGAR, Mar 2026</t>
        </is>
      </c>
    </row>
    <row r="23" ht="22" customHeight="1" s="89">
      <c r="A23" s="138" t="inlineStr">
        <is>
          <t>NBIX</t>
        </is>
      </c>
      <c r="B23" s="139" t="inlineStr">
        <is>
          <t>Neurocrine Biosciences, Inc.</t>
        </is>
      </c>
      <c r="C23" s="140" t="inlineStr">
        <is>
          <t>Mar 2026</t>
        </is>
      </c>
      <c r="D23" s="141" t="n">
        <v>13025.2</v>
      </c>
      <c r="E23" s="142" t="n">
        <v>129.78</v>
      </c>
      <c r="F23" s="141" t="n">
        <v>100.4</v>
      </c>
      <c r="G23" s="141" t="n">
        <v>1480.4</v>
      </c>
      <c r="H23" s="141" t="n"/>
      <c r="I23" s="141" t="n">
        <v>1480.4</v>
      </c>
      <c r="J23" s="141" t="n"/>
      <c r="K23" s="143" t="inlineStr">
        <is>
          <t>CF+</t>
        </is>
      </c>
      <c r="L23" s="138" t="inlineStr">
        <is>
          <t>✅ CF+</t>
        </is>
      </c>
      <c r="M23" s="140" t="n"/>
      <c r="N23" s="140" t="n"/>
      <c r="O23" s="141">
        <f>IFERROR(D23-G23,"")</f>
        <v/>
      </c>
      <c r="P23" s="144" t="inlineStr">
        <is>
          <t>yFinance / SEC EDGAR, Mar 2026</t>
        </is>
      </c>
    </row>
    <row r="24" ht="22" customHeight="1" s="89">
      <c r="A24" s="118" t="inlineStr">
        <is>
          <t>SMMT</t>
        </is>
      </c>
      <c r="B24" s="134" t="inlineStr">
        <is>
          <t>Summit Therapeutics Inc.</t>
        </is>
      </c>
      <c r="C24" s="135" t="inlineStr">
        <is>
          <t>Mar 2026</t>
        </is>
      </c>
      <c r="D24" s="119" t="n">
        <v>12499</v>
      </c>
      <c r="E24" s="136" t="n">
        <v>16.12</v>
      </c>
      <c r="F24" s="119" t="n">
        <v>775.4</v>
      </c>
      <c r="G24" s="119" t="n">
        <v>713.4</v>
      </c>
      <c r="H24" s="119" t="n"/>
      <c r="I24" s="119" t="n">
        <v>713.4</v>
      </c>
      <c r="J24" s="119" t="n">
        <v>97.5</v>
      </c>
      <c r="K24" s="117">
        <f>IFERROR(ROUND(G24/J24,1),"")</f>
        <v/>
      </c>
      <c r="L24" s="118">
        <f>IFERROR(IF(K24&lt;4,"🔴 &lt;4Q",IF(K24&lt;8,"🟡 4-8Q","🟢 &gt;8Q")),"—")</f>
        <v/>
      </c>
      <c r="M24" s="135" t="n"/>
      <c r="N24" s="135" t="n"/>
      <c r="O24" s="119">
        <f>IFERROR(D24-G24,"")</f>
        <v/>
      </c>
      <c r="P24" s="137" t="inlineStr">
        <is>
          <t>yFinance / SEC EDGAR, Mar 2026</t>
        </is>
      </c>
    </row>
    <row r="25" ht="22" customHeight="1" s="89">
      <c r="A25" s="138" t="inlineStr">
        <is>
          <t>ALGN</t>
        </is>
      </c>
      <c r="B25" s="139" t="inlineStr">
        <is>
          <t>Align Technology, Inc.</t>
        </is>
      </c>
      <c r="C25" s="140" t="inlineStr">
        <is>
          <t>Mar 2026</t>
        </is>
      </c>
      <c r="D25" s="141" t="n">
        <v>11783.5</v>
      </c>
      <c r="E25" s="142" t="n">
        <v>164.23</v>
      </c>
      <c r="F25" s="141" t="n">
        <v>71.3</v>
      </c>
      <c r="G25" s="141" t="n">
        <v>1094.9</v>
      </c>
      <c r="H25" s="141" t="n"/>
      <c r="I25" s="141" t="n">
        <v>1094.9</v>
      </c>
      <c r="J25" s="141" t="n"/>
      <c r="K25" s="143" t="inlineStr">
        <is>
          <t>CF+</t>
        </is>
      </c>
      <c r="L25" s="138" t="inlineStr">
        <is>
          <t>✅ CF+</t>
        </is>
      </c>
      <c r="M25" s="140" t="n"/>
      <c r="N25" s="140" t="n"/>
      <c r="O25" s="141">
        <f>IFERROR(D25-G25,"")</f>
        <v/>
      </c>
      <c r="P25" s="144" t="inlineStr">
        <is>
          <t>yFinance / SEC EDGAR, Mar 2026</t>
        </is>
      </c>
    </row>
    <row r="26" ht="22" customHeight="1" s="89">
      <c r="A26" s="118" t="inlineStr">
        <is>
          <t>IONS</t>
        </is>
      </c>
      <c r="B26" s="134" t="inlineStr">
        <is>
          <t>Ionis Pharmaceuticals, Inc.</t>
        </is>
      </c>
      <c r="C26" s="135" t="inlineStr">
        <is>
          <t>Mar 2026</t>
        </is>
      </c>
      <c r="D26" s="119" t="n">
        <v>11760</v>
      </c>
      <c r="E26" s="136" t="n">
        <v>71.19</v>
      </c>
      <c r="F26" s="119" t="n">
        <v>165.2</v>
      </c>
      <c r="G26" s="119" t="n">
        <v>2680.4</v>
      </c>
      <c r="H26" s="119" t="n"/>
      <c r="I26" s="119" t="n">
        <v>2680.4</v>
      </c>
      <c r="J26" s="119" t="n">
        <v>134.6</v>
      </c>
      <c r="K26" s="117">
        <f>IFERROR(ROUND(G26/J26,1),"")</f>
        <v/>
      </c>
      <c r="L26" s="118">
        <f>IFERROR(IF(K26&lt;4,"🔴 &lt;4Q",IF(K26&lt;8,"🟡 4-8Q","🟢 &gt;8Q")),"—")</f>
        <v/>
      </c>
      <c r="M26" s="135" t="n"/>
      <c r="N26" s="135" t="n"/>
      <c r="O26" s="119">
        <f>IFERROR(D26-G26,"")</f>
        <v/>
      </c>
      <c r="P26" s="137" t="inlineStr">
        <is>
          <t>yFinance / SEC EDGAR, Mar 2026</t>
        </is>
      </c>
    </row>
    <row r="27" ht="22" customHeight="1" s="89">
      <c r="A27" s="138" t="inlineStr">
        <is>
          <t>LSCC</t>
        </is>
      </c>
      <c r="B27" s="139" t="inlineStr">
        <is>
          <t>Lattice Semiconductor Corporation</t>
        </is>
      </c>
      <c r="C27" s="140" t="inlineStr">
        <is>
          <t>Mar 2026</t>
        </is>
      </c>
      <c r="D27" s="141" t="n">
        <v>11732.2</v>
      </c>
      <c r="E27" s="142" t="n">
        <v>85.77</v>
      </c>
      <c r="F27" s="141" t="n">
        <v>136.8</v>
      </c>
      <c r="G27" s="141" t="n">
        <v>133.9</v>
      </c>
      <c r="H27" s="141" t="n"/>
      <c r="I27" s="141" t="n">
        <v>133.9</v>
      </c>
      <c r="J27" s="141" t="n"/>
      <c r="K27" s="143" t="inlineStr">
        <is>
          <t>CF+</t>
        </is>
      </c>
      <c r="L27" s="138" t="inlineStr">
        <is>
          <t>✅ CF+</t>
        </is>
      </c>
      <c r="M27" s="140" t="n"/>
      <c r="N27" s="140" t="n"/>
      <c r="O27" s="141">
        <f>IFERROR(D27-G27,"")</f>
        <v/>
      </c>
      <c r="P27" s="144" t="inlineStr">
        <is>
          <t>yFinance / SEC EDGAR, Mar 2026</t>
        </is>
      </c>
    </row>
    <row r="28" ht="22" customHeight="1" s="89">
      <c r="A28" s="118" t="inlineStr">
        <is>
          <t>ELAN</t>
        </is>
      </c>
      <c r="B28" s="134" t="inlineStr">
        <is>
          <t>Elanco Animal Health Incorporated</t>
        </is>
      </c>
      <c r="C28" s="135" t="inlineStr">
        <is>
          <t>Mar 2026</t>
        </is>
      </c>
      <c r="D28" s="119" t="n">
        <v>11405</v>
      </c>
      <c r="E28" s="136" t="n">
        <v>22.94</v>
      </c>
      <c r="F28" s="119" t="n">
        <v>497.2</v>
      </c>
      <c r="G28" s="119" t="n">
        <v>545</v>
      </c>
      <c r="H28" s="119" t="n"/>
      <c r="I28" s="119" t="n">
        <v>545</v>
      </c>
      <c r="J28" s="119" t="n"/>
      <c r="K28" s="117" t="inlineStr">
        <is>
          <t>CF+</t>
        </is>
      </c>
      <c r="L28" s="118" t="inlineStr">
        <is>
          <t>✅ CF+</t>
        </is>
      </c>
      <c r="M28" s="135" t="n"/>
      <c r="N28" s="135" t="n"/>
      <c r="O28" s="119">
        <f>IFERROR(D28-G28,"")</f>
        <v/>
      </c>
      <c r="P28" s="137" t="inlineStr">
        <is>
          <t>yFinance / SEC EDGAR, Mar 2026</t>
        </is>
      </c>
    </row>
    <row r="29" ht="22" customHeight="1" s="89">
      <c r="A29" s="138" t="inlineStr">
        <is>
          <t>BMRN</t>
        </is>
      </c>
      <c r="B29" s="139" t="inlineStr">
        <is>
          <t>BioMarin Pharmaceutical Inc.</t>
        </is>
      </c>
      <c r="C29" s="140" t="inlineStr">
        <is>
          <t>Mar 2026</t>
        </is>
      </c>
      <c r="D29" s="141" t="n">
        <v>11252.8</v>
      </c>
      <c r="E29" s="142" t="n">
        <v>58.51</v>
      </c>
      <c r="F29" s="141" t="n">
        <v>192.3</v>
      </c>
      <c r="G29" s="141" t="n">
        <v>1560.6</v>
      </c>
      <c r="H29" s="141" t="n"/>
      <c r="I29" s="141" t="n">
        <v>1560.6</v>
      </c>
      <c r="J29" s="141" t="n"/>
      <c r="K29" s="143" t="inlineStr">
        <is>
          <t>CF+</t>
        </is>
      </c>
      <c r="L29" s="138" t="inlineStr">
        <is>
          <t>✅ CF+</t>
        </is>
      </c>
      <c r="M29" s="140" t="n"/>
      <c r="N29" s="140" t="n"/>
      <c r="O29" s="141">
        <f>IFERROR(D29-G29,"")</f>
        <v/>
      </c>
      <c r="P29" s="144" t="inlineStr">
        <is>
          <t>yFinance / SEC EDGAR, Mar 2026</t>
        </is>
      </c>
    </row>
    <row r="30" ht="22" customHeight="1" s="89">
      <c r="A30" s="118" t="inlineStr">
        <is>
          <t>EXEL</t>
        </is>
      </c>
      <c r="B30" s="134" t="inlineStr">
        <is>
          <t>Exelixis, Inc.</t>
        </is>
      </c>
      <c r="C30" s="135" t="inlineStr">
        <is>
          <t>Mar 2026</t>
        </is>
      </c>
      <c r="D30" s="119" t="n">
        <v>11056.9</v>
      </c>
      <c r="E30" s="136" t="n">
        <v>41.24</v>
      </c>
      <c r="F30" s="119" t="n">
        <v>259.7</v>
      </c>
      <c r="G30" s="119" t="n">
        <v>1059.1</v>
      </c>
      <c r="H30" s="119" t="n"/>
      <c r="I30" s="119" t="n">
        <v>1059.1</v>
      </c>
      <c r="J30" s="119" t="n"/>
      <c r="K30" s="117" t="inlineStr">
        <is>
          <t>CF+</t>
        </is>
      </c>
      <c r="L30" s="118" t="inlineStr">
        <is>
          <t>✅ CF+</t>
        </is>
      </c>
      <c r="M30" s="135" t="n"/>
      <c r="N30" s="135" t="n"/>
      <c r="O30" s="119">
        <f>IFERROR(D30-G30,"")</f>
        <v/>
      </c>
      <c r="P30" s="137" t="inlineStr">
        <is>
          <t>yFinance / SEC EDGAR, Mar 2026</t>
        </is>
      </c>
    </row>
    <row r="31" ht="22" customHeight="1" s="89">
      <c r="A31" s="138" t="inlineStr">
        <is>
          <t>JAZZ</t>
        </is>
      </c>
      <c r="B31" s="139" t="inlineStr">
        <is>
          <t>Jazz Pharmaceuticals plc</t>
        </is>
      </c>
      <c r="C31" s="140" t="inlineStr">
        <is>
          <t>Mar 2026</t>
        </is>
      </c>
      <c r="D31" s="141" t="n">
        <v>10991.6</v>
      </c>
      <c r="E31" s="142" t="n">
        <v>178.55</v>
      </c>
      <c r="F31" s="141" t="n">
        <v>61.6</v>
      </c>
      <c r="G31" s="141" t="n">
        <v>2441.9</v>
      </c>
      <c r="H31" s="141" t="n"/>
      <c r="I31" s="141" t="n">
        <v>2441.9</v>
      </c>
      <c r="J31" s="141" t="n"/>
      <c r="K31" s="143" t="inlineStr">
        <is>
          <t>CF+</t>
        </is>
      </c>
      <c r="L31" s="138" t="inlineStr">
        <is>
          <t>✅ CF+</t>
        </is>
      </c>
      <c r="M31" s="140" t="n"/>
      <c r="N31" s="140" t="n"/>
      <c r="O31" s="141">
        <f>IFERROR(D31-G31,"")</f>
        <v/>
      </c>
      <c r="P31" s="144" t="inlineStr">
        <is>
          <t>yFinance / SEC EDGAR, Mar 2026</t>
        </is>
      </c>
    </row>
    <row r="32" ht="22" customHeight="1" s="89">
      <c r="A32" s="118" t="inlineStr">
        <is>
          <t>MDGL</t>
        </is>
      </c>
      <c r="B32" s="134" t="inlineStr">
        <is>
          <t>Madrigal Pharmaceuticals, Inc.</t>
        </is>
      </c>
      <c r="C32" s="135" t="inlineStr">
        <is>
          <t>Mar 2026</t>
        </is>
      </c>
      <c r="D32" s="119" t="n">
        <v>10102.7</v>
      </c>
      <c r="E32" s="136" t="n">
        <v>444.83</v>
      </c>
      <c r="F32" s="119" t="n">
        <v>22.7</v>
      </c>
      <c r="G32" s="119" t="n">
        <v>983.6</v>
      </c>
      <c r="H32" s="119" t="n"/>
      <c r="I32" s="119" t="n">
        <v>983.6</v>
      </c>
      <c r="J32" s="119" t="n">
        <v>47.4</v>
      </c>
      <c r="K32" s="117">
        <f>IFERROR(ROUND(G32/J32,1),"")</f>
        <v/>
      </c>
      <c r="L32" s="118">
        <f>IFERROR(IF(K32&lt;4,"🔴 &lt;4Q",IF(K32&lt;8,"🟡 4-8Q","🟢 &gt;8Q")),"—")</f>
        <v/>
      </c>
      <c r="M32" s="135" t="n"/>
      <c r="N32" s="135" t="n"/>
      <c r="O32" s="119">
        <f>IFERROR(D32-G32,"")</f>
        <v/>
      </c>
      <c r="P32" s="137" t="inlineStr">
        <is>
          <t>yFinance / SEC EDGAR, Mar 2026</t>
        </is>
      </c>
    </row>
    <row r="33" ht="22" customHeight="1" s="89">
      <c r="A33" s="138" t="inlineStr">
        <is>
          <t>PRAX</t>
        </is>
      </c>
      <c r="B33" s="139" t="inlineStr">
        <is>
          <t>Praxis Precision Medicines, Inc.</t>
        </is>
      </c>
      <c r="C33" s="140" t="inlineStr">
        <is>
          <t>Mar 2026</t>
        </is>
      </c>
      <c r="D33" s="141" t="n">
        <v>8186.8</v>
      </c>
      <c r="E33" s="142" t="n">
        <v>293.95</v>
      </c>
      <c r="F33" s="141" t="n">
        <v>27.9</v>
      </c>
      <c r="G33" s="141" t="n">
        <v>599.3</v>
      </c>
      <c r="H33" s="141" t="n"/>
      <c r="I33" s="141" t="n">
        <v>599.3</v>
      </c>
      <c r="J33" s="141" t="n">
        <v>70.7</v>
      </c>
      <c r="K33" s="143">
        <f>IFERROR(ROUND(G33/J33,1),"")</f>
        <v/>
      </c>
      <c r="L33" s="138">
        <f>IFERROR(IF(K33&lt;4,"🔴 &lt;4Q",IF(K33&lt;8,"🟡 4-8Q","🟢 &gt;8Q")),"—")</f>
        <v/>
      </c>
      <c r="M33" s="140" t="n"/>
      <c r="N33" s="140" t="n"/>
      <c r="O33" s="141">
        <f>IFERROR(D33-G33,"")</f>
        <v/>
      </c>
      <c r="P33" s="144" t="inlineStr">
        <is>
          <t>yFinance / SEC EDGAR, Mar 2026</t>
        </is>
      </c>
    </row>
    <row r="34" ht="22" customHeight="1" s="89">
      <c r="A34" s="118" t="inlineStr">
        <is>
          <t>AXSM</t>
        </is>
      </c>
      <c r="B34" s="134" t="inlineStr">
        <is>
          <t>Axsome Therapeutics, Inc.</t>
        </is>
      </c>
      <c r="C34" s="135" t="inlineStr">
        <is>
          <t>Mar 2026</t>
        </is>
      </c>
      <c r="D34" s="119" t="n">
        <v>7984</v>
      </c>
      <c r="E34" s="136" t="n">
        <v>156.08</v>
      </c>
      <c r="F34" s="119" t="n">
        <v>51.2</v>
      </c>
      <c r="G34" s="119" t="n">
        <v>322.9</v>
      </c>
      <c r="H34" s="119" t="n"/>
      <c r="I34" s="119" t="n">
        <v>322.9</v>
      </c>
      <c r="J34" s="119" t="n">
        <v>8.800000000000001</v>
      </c>
      <c r="K34" s="117">
        <f>IFERROR(ROUND(G34/J34,1),"")</f>
        <v/>
      </c>
      <c r="L34" s="118">
        <f>IFERROR(IF(K34&lt;4,"🔴 &lt;4Q",IF(K34&lt;8,"🟡 4-8Q","🟢 &gt;8Q")),"—")</f>
        <v/>
      </c>
      <c r="M34" s="135" t="n"/>
      <c r="N34" s="135" t="n"/>
      <c r="O34" s="119">
        <f>IFERROR(D34-G34,"")</f>
        <v/>
      </c>
      <c r="P34" s="137" t="inlineStr">
        <is>
          <t>yFinance / SEC EDGAR, Mar 2026</t>
        </is>
      </c>
    </row>
    <row r="35" ht="22" customHeight="1" s="89">
      <c r="A35" s="138" t="inlineStr">
        <is>
          <t>PCVX</t>
        </is>
      </c>
      <c r="B35" s="139" t="inlineStr">
        <is>
          <t>Vaxcyte, Inc.</t>
        </is>
      </c>
      <c r="C35" s="140" t="inlineStr">
        <is>
          <t>Mar 2026</t>
        </is>
      </c>
      <c r="D35" s="141" t="n">
        <v>7925.4</v>
      </c>
      <c r="E35" s="142" t="n">
        <v>54.58</v>
      </c>
      <c r="F35" s="141" t="n">
        <v>143.9</v>
      </c>
      <c r="G35" s="141" t="n">
        <v>1561</v>
      </c>
      <c r="H35" s="141" t="n"/>
      <c r="I35" s="141" t="n">
        <v>1561</v>
      </c>
      <c r="J35" s="141" t="n">
        <v>184.1</v>
      </c>
      <c r="K35" s="143">
        <f>IFERROR(ROUND(G35/J35,1),"")</f>
        <v/>
      </c>
      <c r="L35" s="138">
        <f>IFERROR(IF(K35&lt;4,"🔴 &lt;4Q",IF(K35&lt;8,"🟡 4-8Q","🟢 &gt;8Q")),"—")</f>
        <v/>
      </c>
      <c r="M35" s="140" t="n"/>
      <c r="N35" s="140" t="n"/>
      <c r="O35" s="141">
        <f>IFERROR(D35-G35,"")</f>
        <v/>
      </c>
      <c r="P35" s="144" t="inlineStr">
        <is>
          <t>yFinance / SEC EDGAR, Mar 2026</t>
        </is>
      </c>
    </row>
    <row r="36" ht="22" customHeight="1" s="89">
      <c r="A36" s="118" t="inlineStr">
        <is>
          <t>ARWR</t>
        </is>
      </c>
      <c r="B36" s="134" t="inlineStr">
        <is>
          <t>Arrowhead Pharmaceuticals, Inc.</t>
        </is>
      </c>
      <c r="C36" s="135" t="inlineStr">
        <is>
          <t>Mar 2026</t>
        </is>
      </c>
      <c r="D36" s="119" t="n">
        <v>7708.8</v>
      </c>
      <c r="E36" s="136" t="n">
        <v>55.05</v>
      </c>
      <c r="F36" s="119" t="n">
        <v>140</v>
      </c>
      <c r="G36" s="119" t="n">
        <v>914.7</v>
      </c>
      <c r="H36" s="119" t="n"/>
      <c r="I36" s="119" t="n">
        <v>914.7</v>
      </c>
      <c r="J36" s="119" t="n"/>
      <c r="K36" s="117" t="inlineStr">
        <is>
          <t>CF+</t>
        </is>
      </c>
      <c r="L36" s="118" t="inlineStr">
        <is>
          <t>✅ CF+</t>
        </is>
      </c>
      <c r="M36" s="135" t="n"/>
      <c r="N36" s="135" t="n"/>
      <c r="O36" s="119">
        <f>IFERROR(D36-G36,"")</f>
        <v/>
      </c>
      <c r="P36" s="137" t="inlineStr">
        <is>
          <t>yFinance / SEC EDGAR, Mar 2026</t>
        </is>
      </c>
    </row>
    <row r="37" ht="22" customHeight="1" s="89">
      <c r="A37" s="138" t="inlineStr">
        <is>
          <t>NUVL</t>
        </is>
      </c>
      <c r="B37" s="139" t="inlineStr">
        <is>
          <t>Nuvalent, Inc.</t>
        </is>
      </c>
      <c r="C37" s="140" t="inlineStr">
        <is>
          <t>Mar 2026</t>
        </is>
      </c>
      <c r="D37" s="141" t="n">
        <v>7699</v>
      </c>
      <c r="E37" s="142" t="n">
        <v>97.93000000000001</v>
      </c>
      <c r="F37" s="141" t="n">
        <v>73.2</v>
      </c>
      <c r="G37" s="141" t="n">
        <v>1372</v>
      </c>
      <c r="H37" s="141" t="n"/>
      <c r="I37" s="141" t="n">
        <v>1372</v>
      </c>
      <c r="J37" s="141" t="n">
        <v>71.90000000000001</v>
      </c>
      <c r="K37" s="143">
        <f>IFERROR(ROUND(G37/J37,1),"")</f>
        <v/>
      </c>
      <c r="L37" s="138">
        <f>IFERROR(IF(K37&lt;4,"🔴 &lt;4Q",IF(K37&lt;8,"🟡 4-8Q","🟢 &gt;8Q")),"—")</f>
        <v/>
      </c>
      <c r="M37" s="140" t="n"/>
      <c r="N37" s="140" t="n"/>
      <c r="O37" s="141">
        <f>IFERROR(D37-G37,"")</f>
        <v/>
      </c>
      <c r="P37" s="144" t="inlineStr">
        <is>
          <t>yFinance / SEC EDGAR, Mar 2026</t>
        </is>
      </c>
    </row>
    <row r="38" ht="22" customHeight="1" s="89">
      <c r="A38" s="118" t="inlineStr">
        <is>
          <t>HALO</t>
        </is>
      </c>
      <c r="B38" s="134" t="inlineStr">
        <is>
          <t>Halozyme Therapeutics, Inc.</t>
        </is>
      </c>
      <c r="C38" s="135" t="inlineStr">
        <is>
          <t>Mar 2026</t>
        </is>
      </c>
      <c r="D38" s="119" t="n">
        <v>7513</v>
      </c>
      <c r="E38" s="136" t="n">
        <v>63.66</v>
      </c>
      <c r="F38" s="119" t="n">
        <v>118</v>
      </c>
      <c r="G38" s="119" t="n">
        <v>142.8</v>
      </c>
      <c r="H38" s="119" t="n"/>
      <c r="I38" s="119" t="n">
        <v>142.8</v>
      </c>
      <c r="J38" s="119" t="n"/>
      <c r="K38" s="117" t="inlineStr">
        <is>
          <t>CF+</t>
        </is>
      </c>
      <c r="L38" s="118" t="inlineStr">
        <is>
          <t>✅ CF+</t>
        </is>
      </c>
      <c r="M38" s="135" t="n"/>
      <c r="N38" s="135" t="n"/>
      <c r="O38" s="119">
        <f>IFERROR(D38-G38,"")</f>
        <v/>
      </c>
      <c r="P38" s="137" t="inlineStr">
        <is>
          <t>yFinance / SEC EDGAR, Mar 2026</t>
        </is>
      </c>
    </row>
    <row r="39" ht="22" customHeight="1" s="89">
      <c r="A39" s="138" t="inlineStr">
        <is>
          <t>KRYS</t>
        </is>
      </c>
      <c r="B39" s="139" t="inlineStr">
        <is>
          <t>Krystal Biotech, Inc.</t>
        </is>
      </c>
      <c r="C39" s="140" t="inlineStr">
        <is>
          <t>Mar 2026</t>
        </is>
      </c>
      <c r="D39" s="141" t="n">
        <v>7228</v>
      </c>
      <c r="E39" s="142" t="n">
        <v>247.26</v>
      </c>
      <c r="F39" s="141" t="n">
        <v>29.2</v>
      </c>
      <c r="G39" s="141" t="n">
        <v>827.8</v>
      </c>
      <c r="H39" s="141" t="n"/>
      <c r="I39" s="141" t="n">
        <v>827.8</v>
      </c>
      <c r="J39" s="141" t="n"/>
      <c r="K39" s="143" t="inlineStr">
        <is>
          <t>CF+</t>
        </is>
      </c>
      <c r="L39" s="138" t="inlineStr">
        <is>
          <t>✅ CF+</t>
        </is>
      </c>
      <c r="M39" s="140" t="n"/>
      <c r="N39" s="140" t="n"/>
      <c r="O39" s="141">
        <f>IFERROR(D39-G39,"")</f>
        <v/>
      </c>
      <c r="P39" s="144" t="inlineStr">
        <is>
          <t>yFinance / SEC EDGAR, Mar 2026</t>
        </is>
      </c>
    </row>
    <row r="40" ht="22" customHeight="1" s="89">
      <c r="A40" s="118" t="inlineStr">
        <is>
          <t>KYMR</t>
        </is>
      </c>
      <c r="B40" s="134" t="inlineStr">
        <is>
          <t>Kymera Therapeutics, Inc.</t>
        </is>
      </c>
      <c r="C40" s="135" t="inlineStr">
        <is>
          <t>Mar 2026</t>
        </is>
      </c>
      <c r="D40" s="119" t="n">
        <v>6452.2</v>
      </c>
      <c r="E40" s="136" t="n">
        <v>79.03</v>
      </c>
      <c r="F40" s="119" t="n">
        <v>81.59999999999999</v>
      </c>
      <c r="G40" s="119" t="n">
        <v>848.3</v>
      </c>
      <c r="H40" s="119" t="n"/>
      <c r="I40" s="119" t="n">
        <v>848.3</v>
      </c>
      <c r="J40" s="119" t="n">
        <v>46.9</v>
      </c>
      <c r="K40" s="117">
        <f>IFERROR(ROUND(G40/J40,1),"")</f>
        <v/>
      </c>
      <c r="L40" s="118">
        <f>IFERROR(IF(K40&lt;4,"🔴 &lt;4Q",IF(K40&lt;8,"🟡 4-8Q","🟢 &gt;8Q")),"—")</f>
        <v/>
      </c>
      <c r="M40" s="135" t="n"/>
      <c r="N40" s="135" t="n"/>
      <c r="O40" s="119">
        <f>IFERROR(D40-G40,"")</f>
        <v/>
      </c>
      <c r="P40" s="137" t="inlineStr">
        <is>
          <t>yFinance / SEC EDGAR, Mar 2026</t>
        </is>
      </c>
    </row>
    <row r="41" ht="22" customHeight="1" s="89">
      <c r="A41" s="138" t="inlineStr">
        <is>
          <t>GRFS</t>
        </is>
      </c>
      <c r="B41" s="139" t="inlineStr">
        <is>
          <t>Grifols, S.A.</t>
        </is>
      </c>
      <c r="C41" s="140" t="inlineStr">
        <is>
          <t>Mar 2026</t>
        </is>
      </c>
      <c r="D41" s="141" t="n">
        <v>6414.5</v>
      </c>
      <c r="E41" s="142" t="n">
        <v>7.81</v>
      </c>
      <c r="F41" s="141" t="n">
        <v>258.2</v>
      </c>
      <c r="G41" s="141" t="n">
        <v>849</v>
      </c>
      <c r="H41" s="141" t="n"/>
      <c r="I41" s="141" t="n">
        <v>849</v>
      </c>
      <c r="J41" s="141" t="n"/>
      <c r="K41" s="143" t="inlineStr">
        <is>
          <t>CF+</t>
        </is>
      </c>
      <c r="L41" s="138" t="inlineStr">
        <is>
          <t>✅ CF+</t>
        </is>
      </c>
      <c r="M41" s="140" t="n"/>
      <c r="N41" s="140" t="n"/>
      <c r="O41" s="141">
        <f>IFERROR(D41-G41,"")</f>
        <v/>
      </c>
      <c r="P41" s="144" t="inlineStr">
        <is>
          <t>yFinance / SEC EDGAR, Mar 2026</t>
        </is>
      </c>
    </row>
    <row r="42" ht="22" customHeight="1" s="89">
      <c r="A42" s="118" t="inlineStr">
        <is>
          <t>RYTM</t>
        </is>
      </c>
      <c r="B42" s="134" t="inlineStr">
        <is>
          <t>Rhythm Pharmaceuticals, Inc.</t>
        </is>
      </c>
      <c r="C42" s="135" t="inlineStr">
        <is>
          <t>Mar 2026</t>
        </is>
      </c>
      <c r="D42" s="119" t="n">
        <v>5966.7</v>
      </c>
      <c r="E42" s="136" t="n">
        <v>87.38</v>
      </c>
      <c r="F42" s="119" t="n">
        <v>68.3</v>
      </c>
      <c r="G42" s="119" t="n">
        <v>388.9</v>
      </c>
      <c r="H42" s="119" t="n"/>
      <c r="I42" s="119" t="n">
        <v>388.9</v>
      </c>
      <c r="J42" s="119" t="n">
        <v>26</v>
      </c>
      <c r="K42" s="117">
        <f>IFERROR(ROUND(G42/J42,1),"")</f>
        <v/>
      </c>
      <c r="L42" s="118">
        <f>IFERROR(IF(K42&lt;4,"🔴 &lt;4Q",IF(K42&lt;8,"🟡 4-8Q","🟢 &gt;8Q")),"—")</f>
        <v/>
      </c>
      <c r="M42" s="135" t="n"/>
      <c r="N42" s="135" t="n"/>
      <c r="O42" s="119">
        <f>IFERROR(D42-G42,"")</f>
        <v/>
      </c>
      <c r="P42" s="137" t="inlineStr">
        <is>
          <t>yFinance / SEC EDGAR, Mar 2026</t>
        </is>
      </c>
    </row>
    <row r="43" ht="22" customHeight="1" s="89">
      <c r="A43" s="138" t="inlineStr">
        <is>
          <t>PTGX</t>
        </is>
      </c>
      <c r="B43" s="139" t="inlineStr">
        <is>
          <t>Protagonist Therapeutics, Inc.</t>
        </is>
      </c>
      <c r="C43" s="140" t="inlineStr">
        <is>
          <t>Mar 2026</t>
        </is>
      </c>
      <c r="D43" s="141" t="n">
        <v>5893.4</v>
      </c>
      <c r="E43" s="142" t="n">
        <v>92.36</v>
      </c>
      <c r="F43" s="141" t="n">
        <v>63.8</v>
      </c>
      <c r="G43" s="141" t="n">
        <v>567.4</v>
      </c>
      <c r="H43" s="141" t="n"/>
      <c r="I43" s="141" t="n">
        <v>567.4</v>
      </c>
      <c r="J43" s="141" t="n">
        <v>19.5</v>
      </c>
      <c r="K43" s="143">
        <f>IFERROR(ROUND(G43/J43,1),"")</f>
        <v/>
      </c>
      <c r="L43" s="138">
        <f>IFERROR(IF(K43&lt;4,"🔴 &lt;4Q",IF(K43&lt;8,"🟡 4-8Q","🟢 &gt;8Q")),"—")</f>
        <v/>
      </c>
      <c r="M43" s="140" t="n"/>
      <c r="N43" s="140" t="n"/>
      <c r="O43" s="141">
        <f>IFERROR(D43-G43,"")</f>
        <v/>
      </c>
      <c r="P43" s="144" t="inlineStr">
        <is>
          <t>yFinance / SEC EDGAR, Mar 2026</t>
        </is>
      </c>
    </row>
    <row r="44" ht="22" customHeight="1" s="89">
      <c r="A44" s="118" t="inlineStr">
        <is>
          <t>COGT</t>
        </is>
      </c>
      <c r="B44" s="134" t="inlineStr">
        <is>
          <t>Cogent Biosciences, Inc.</t>
        </is>
      </c>
      <c r="C44" s="135" t="inlineStr">
        <is>
          <t>Mar 2026</t>
        </is>
      </c>
      <c r="D44" s="119" t="n">
        <v>5518.5</v>
      </c>
      <c r="E44" s="136" t="n">
        <v>34</v>
      </c>
      <c r="F44" s="119" t="n">
        <v>162.3</v>
      </c>
      <c r="G44" s="119" t="n">
        <v>900.8</v>
      </c>
      <c r="H44" s="119" t="n"/>
      <c r="I44" s="119" t="n">
        <v>900.8</v>
      </c>
      <c r="J44" s="119" t="n">
        <v>71.7</v>
      </c>
      <c r="K44" s="117">
        <f>IFERROR(ROUND(G44/J44,1),"")</f>
        <v/>
      </c>
      <c r="L44" s="118">
        <f>IFERROR(IF(K44&lt;4,"🔴 &lt;4Q",IF(K44&lt;8,"🟡 4-8Q","🟢 &gt;8Q")),"—")</f>
        <v/>
      </c>
      <c r="M44" s="135" t="n"/>
      <c r="N44" s="135" t="n"/>
      <c r="O44" s="119">
        <f>IFERROR(D44-G44,"")</f>
        <v/>
      </c>
      <c r="P44" s="137" t="inlineStr">
        <is>
          <t>yFinance / SEC EDGAR, Mar 2026</t>
        </is>
      </c>
    </row>
    <row r="45" ht="22" customHeight="1" s="89">
      <c r="A45" s="138" t="inlineStr">
        <is>
          <t>MIRM</t>
        </is>
      </c>
      <c r="B45" s="139" t="inlineStr">
        <is>
          <t>Mirum Pharmaceuticals, Inc.</t>
        </is>
      </c>
      <c r="C45" s="140" t="inlineStr">
        <is>
          <t>Mar 2026</t>
        </is>
      </c>
      <c r="D45" s="141" t="n">
        <v>5470.6</v>
      </c>
      <c r="E45" s="142" t="n">
        <v>90.66</v>
      </c>
      <c r="F45" s="141" t="n">
        <v>60.3</v>
      </c>
      <c r="G45" s="141" t="n">
        <v>383.3</v>
      </c>
      <c r="H45" s="141" t="n"/>
      <c r="I45" s="141" t="n">
        <v>383.3</v>
      </c>
      <c r="J45" s="141" t="n"/>
      <c r="K45" s="143" t="inlineStr">
        <is>
          <t>CF+</t>
        </is>
      </c>
      <c r="L45" s="138" t="inlineStr">
        <is>
          <t>✅ CF+</t>
        </is>
      </c>
      <c r="M45" s="140" t="n"/>
      <c r="N45" s="140" t="n"/>
      <c r="O45" s="141">
        <f>IFERROR(D45-G45,"")</f>
        <v/>
      </c>
      <c r="P45" s="144" t="inlineStr">
        <is>
          <t>yFinance / SEC EDGAR, Mar 2026</t>
        </is>
      </c>
    </row>
    <row r="46" ht="22" customHeight="1" s="89">
      <c r="A46" s="118" t="inlineStr">
        <is>
          <t>CGON</t>
        </is>
      </c>
      <c r="B46" s="134" t="inlineStr">
        <is>
          <t>CG Oncology, Inc.</t>
        </is>
      </c>
      <c r="C46" s="135" t="inlineStr">
        <is>
          <t>Mar 2026</t>
        </is>
      </c>
      <c r="D46" s="119" t="n">
        <v>5428.3</v>
      </c>
      <c r="E46" s="136" t="n">
        <v>64.29000000000001</v>
      </c>
      <c r="F46" s="119" t="n">
        <v>84.40000000000001</v>
      </c>
      <c r="G46" s="119" t="n">
        <v>742.2</v>
      </c>
      <c r="H46" s="119" t="n"/>
      <c r="I46" s="119" t="n">
        <v>742.2</v>
      </c>
      <c r="J46" s="119" t="n">
        <v>37.6</v>
      </c>
      <c r="K46" s="117">
        <f>IFERROR(ROUND(G46/J46,1),"")</f>
        <v/>
      </c>
      <c r="L46" s="118">
        <f>IFERROR(IF(K46&lt;4,"🔴 &lt;4Q",IF(K46&lt;8,"🟡 4-8Q","🟢 &gt;8Q")),"—")</f>
        <v/>
      </c>
      <c r="M46" s="135" t="n"/>
      <c r="N46" s="135" t="n"/>
      <c r="O46" s="119">
        <f>IFERROR(D46-G46,"")</f>
        <v/>
      </c>
      <c r="P46" s="137" t="inlineStr">
        <is>
          <t>yFinance / SEC EDGAR, Mar 2026</t>
        </is>
      </c>
    </row>
    <row r="47" ht="22" customHeight="1" s="89">
      <c r="A47" s="138" t="inlineStr">
        <is>
          <t>PTCT</t>
        </is>
      </c>
      <c r="B47" s="139" t="inlineStr">
        <is>
          <t>PTC Therapeutics, Inc.</t>
        </is>
      </c>
      <c r="C47" s="140" t="inlineStr">
        <is>
          <t>Mar 2026</t>
        </is>
      </c>
      <c r="D47" s="141" t="n">
        <v>5338.1</v>
      </c>
      <c r="E47" s="142" t="n">
        <v>64.48999999999999</v>
      </c>
      <c r="F47" s="141" t="n">
        <v>82.8</v>
      </c>
      <c r="G47" s="141" t="n">
        <v>1945.4</v>
      </c>
      <c r="H47" s="141" t="n"/>
      <c r="I47" s="141" t="n">
        <v>1945.4</v>
      </c>
      <c r="J47" s="141" t="n">
        <v>50.3</v>
      </c>
      <c r="K47" s="143">
        <f>IFERROR(ROUND(G47/J47,1),"")</f>
        <v/>
      </c>
      <c r="L47" s="138">
        <f>IFERROR(IF(K47&lt;4,"🔴 &lt;4Q",IF(K47&lt;8,"🟡 4-8Q","🟢 &gt;8Q")),"—")</f>
        <v/>
      </c>
      <c r="M47" s="140" t="n"/>
      <c r="N47" s="140" t="n"/>
      <c r="O47" s="141">
        <f>IFERROR(D47-G47,"")</f>
        <v/>
      </c>
      <c r="P47" s="144" t="inlineStr">
        <is>
          <t>yFinance / SEC EDGAR, Mar 2026</t>
        </is>
      </c>
    </row>
    <row r="48" ht="22" customHeight="1" s="89">
      <c r="A48" s="118" t="inlineStr">
        <is>
          <t>LNTH</t>
        </is>
      </c>
      <c r="B48" s="134" t="inlineStr">
        <is>
          <t>Lantheus Holdings, Inc.</t>
        </is>
      </c>
      <c r="C48" s="135" t="inlineStr">
        <is>
          <t>Mar 2026</t>
        </is>
      </c>
      <c r="D48" s="119" t="n">
        <v>5271.1</v>
      </c>
      <c r="E48" s="136" t="n">
        <v>79.48999999999999</v>
      </c>
      <c r="F48" s="119" t="n">
        <v>64.59999999999999</v>
      </c>
      <c r="G48" s="119" t="n">
        <v>359.1</v>
      </c>
      <c r="H48" s="119" t="n"/>
      <c r="I48" s="119" t="n">
        <v>359.1</v>
      </c>
      <c r="J48" s="119" t="n"/>
      <c r="K48" s="117" t="inlineStr">
        <is>
          <t>CF+</t>
        </is>
      </c>
      <c r="L48" s="118" t="inlineStr">
        <is>
          <t>✅ CF+</t>
        </is>
      </c>
      <c r="M48" s="135" t="n"/>
      <c r="N48" s="135" t="n"/>
      <c r="O48" s="119">
        <f>IFERROR(D48-G48,"")</f>
        <v/>
      </c>
      <c r="P48" s="137" t="inlineStr">
        <is>
          <t>yFinance / SEC EDGAR, Mar 2026</t>
        </is>
      </c>
    </row>
    <row r="49" ht="22" customHeight="1" s="89">
      <c r="A49" s="138" t="inlineStr">
        <is>
          <t>IMVT</t>
        </is>
      </c>
      <c r="B49" s="139" t="inlineStr">
        <is>
          <t>Immunovant, Inc.</t>
        </is>
      </c>
      <c r="C49" s="140" t="inlineStr">
        <is>
          <t>Mar 2026</t>
        </is>
      </c>
      <c r="D49" s="141" t="n">
        <v>4968.2</v>
      </c>
      <c r="E49" s="142" t="n">
        <v>24.41</v>
      </c>
      <c r="F49" s="141" t="n">
        <v>203.5</v>
      </c>
      <c r="G49" s="141" t="n">
        <v>994.5</v>
      </c>
      <c r="H49" s="141" t="n"/>
      <c r="I49" s="141" t="n">
        <v>994.5</v>
      </c>
      <c r="J49" s="141" t="n">
        <v>97.40000000000001</v>
      </c>
      <c r="K49" s="143">
        <f>IFERROR(ROUND(G49/J49,1),"")</f>
        <v/>
      </c>
      <c r="L49" s="138">
        <f>IFERROR(IF(K49&lt;4,"🔴 &lt;4Q",IF(K49&lt;8,"🟡 4-8Q","🟢 &gt;8Q")),"—")</f>
        <v/>
      </c>
      <c r="M49" s="140" t="n"/>
      <c r="N49" s="140" t="n"/>
      <c r="O49" s="141">
        <f>IFERROR(D49-G49,"")</f>
        <v/>
      </c>
      <c r="P49" s="144" t="inlineStr">
        <is>
          <t>yFinance / SEC EDGAR, Mar 2026</t>
        </is>
      </c>
    </row>
    <row r="50" ht="22" customHeight="1" s="89">
      <c r="A50" s="118" t="inlineStr">
        <is>
          <t>APGE</t>
        </is>
      </c>
      <c r="B50" s="134" t="inlineStr">
        <is>
          <t>Apogee Therapeutics, Inc.</t>
        </is>
      </c>
      <c r="C50" s="135" t="inlineStr">
        <is>
          <t>Mar 2026</t>
        </is>
      </c>
      <c r="D50" s="119" t="n">
        <v>4950.1</v>
      </c>
      <c r="E50" s="136" t="n">
        <v>71.90000000000001</v>
      </c>
      <c r="F50" s="119" t="n">
        <v>55.4</v>
      </c>
      <c r="G50" s="119" t="n">
        <v>730.2</v>
      </c>
      <c r="H50" s="119" t="n"/>
      <c r="I50" s="119" t="n">
        <v>730.2</v>
      </c>
      <c r="J50" s="119" t="n">
        <v>58.5</v>
      </c>
      <c r="K50" s="117">
        <f>IFERROR(ROUND(G50/J50,1),"")</f>
        <v/>
      </c>
      <c r="L50" s="118">
        <f>IFERROR(IF(K50&lt;4,"🔴 &lt;4Q",IF(K50&lt;8,"🟡 4-8Q","🟢 &gt;8Q")),"—")</f>
        <v/>
      </c>
      <c r="M50" s="135" t="n"/>
      <c r="N50" s="135" t="n"/>
      <c r="O50" s="119">
        <f>IFERROR(D50-G50,"")</f>
        <v/>
      </c>
      <c r="P50" s="137" t="inlineStr">
        <is>
          <t>yFinance / SEC EDGAR, Mar 2026</t>
        </is>
      </c>
    </row>
    <row r="51" ht="22" customHeight="1" s="89">
      <c r="A51" s="138" t="inlineStr">
        <is>
          <t>AVAL</t>
        </is>
      </c>
      <c r="B51" s="139" t="inlineStr">
        <is>
          <t>Grupo Aval Acciones y Valores S.A.</t>
        </is>
      </c>
      <c r="C51" s="140" t="inlineStr">
        <is>
          <t>Mar 2026</t>
        </is>
      </c>
      <c r="D51" s="141" t="n">
        <v>4691.2</v>
      </c>
      <c r="E51" s="142" t="n">
        <v>3.93</v>
      </c>
      <c r="F51" s="141" t="n">
        <v>378.3</v>
      </c>
      <c r="G51" s="141" t="n"/>
      <c r="H51" s="141" t="n"/>
      <c r="I51" s="141" t="n"/>
      <c r="J51" s="141" t="n"/>
      <c r="K51" s="143" t="inlineStr"/>
      <c r="L51" s="138" t="inlineStr"/>
      <c r="M51" s="140" t="n"/>
      <c r="N51" s="140" t="n"/>
      <c r="O51" s="141">
        <f>IFERROR(D51-G51,"")</f>
        <v/>
      </c>
      <c r="P51" s="144" t="inlineStr">
        <is>
          <t>yFinance / SEC EDGAR, Mar 2026</t>
        </is>
      </c>
    </row>
    <row r="52" ht="22" customHeight="1" s="89">
      <c r="A52" s="118" t="inlineStr">
        <is>
          <t>CRSP</t>
        </is>
      </c>
      <c r="B52" s="134" t="inlineStr">
        <is>
          <t>CRISPR Therapeutics AG</t>
        </is>
      </c>
      <c r="C52" s="135" t="inlineStr">
        <is>
          <t>Mar 2026</t>
        </is>
      </c>
      <c r="D52" s="119" t="n">
        <v>4679.3</v>
      </c>
      <c r="E52" s="136" t="n">
        <v>48.75</v>
      </c>
      <c r="F52" s="119" t="n">
        <v>96</v>
      </c>
      <c r="G52" s="119" t="n">
        <v>1975.8</v>
      </c>
      <c r="H52" s="119" t="n"/>
      <c r="I52" s="119" t="n">
        <v>1975.8</v>
      </c>
      <c r="J52" s="119" t="n">
        <v>88.59999999999999</v>
      </c>
      <c r="K52" s="117">
        <f>IFERROR(ROUND(G52/J52,1),"")</f>
        <v/>
      </c>
      <c r="L52" s="118">
        <f>IFERROR(IF(K52&lt;4,"🔴 &lt;4Q",IF(K52&lt;8,"🟡 4-8Q","🟢 &gt;8Q")),"—")</f>
        <v/>
      </c>
      <c r="M52" s="135" t="n"/>
      <c r="N52" s="135" t="n"/>
      <c r="O52" s="119">
        <f>IFERROR(D52-G52,"")</f>
        <v/>
      </c>
      <c r="P52" s="137" t="inlineStr">
        <is>
          <t>yFinance / SEC EDGAR, Mar 2026</t>
        </is>
      </c>
    </row>
    <row r="53" ht="22" customHeight="1" s="89">
      <c r="A53" s="138" t="inlineStr">
        <is>
          <t>ALKS</t>
        </is>
      </c>
      <c r="B53" s="139" t="inlineStr">
        <is>
          <t>Alkermes plc</t>
        </is>
      </c>
      <c r="C53" s="140" t="inlineStr">
        <is>
          <t>Mar 2026</t>
        </is>
      </c>
      <c r="D53" s="141" t="n">
        <v>4626.2</v>
      </c>
      <c r="E53" s="142" t="n">
        <v>27.76</v>
      </c>
      <c r="F53" s="141" t="n">
        <v>166.6</v>
      </c>
      <c r="G53" s="141" t="n">
        <v>588.2</v>
      </c>
      <c r="H53" s="141" t="n"/>
      <c r="I53" s="141" t="n">
        <v>588.2</v>
      </c>
      <c r="J53" s="141" t="n"/>
      <c r="K53" s="143" t="inlineStr">
        <is>
          <t>CF+</t>
        </is>
      </c>
      <c r="L53" s="138" t="inlineStr">
        <is>
          <t>✅ CF+</t>
        </is>
      </c>
      <c r="M53" s="140" t="n"/>
      <c r="N53" s="140" t="n"/>
      <c r="O53" s="141">
        <f>IFERROR(D53-G53,"")</f>
        <v/>
      </c>
      <c r="P53" s="144" t="inlineStr">
        <is>
          <t>yFinance / SEC EDGAR, Mar 2026</t>
        </is>
      </c>
    </row>
    <row r="54" ht="22" customHeight="1" s="89">
      <c r="A54" s="118" t="inlineStr">
        <is>
          <t>XENE</t>
        </is>
      </c>
      <c r="B54" s="134" t="inlineStr">
        <is>
          <t>Xenon Pharmaceuticals Inc.</t>
        </is>
      </c>
      <c r="C54" s="135" t="inlineStr">
        <is>
          <t>Mar 2026</t>
        </is>
      </c>
      <c r="D54" s="119" t="n">
        <v>4594.6</v>
      </c>
      <c r="E54" s="136" t="n">
        <v>55.23</v>
      </c>
      <c r="F54" s="119" t="n">
        <v>83.2</v>
      </c>
      <c r="G54" s="119" t="n">
        <v>548.9</v>
      </c>
      <c r="H54" s="119" t="n"/>
      <c r="I54" s="119" t="n">
        <v>548.9</v>
      </c>
      <c r="J54" s="119" t="n">
        <v>76.59999999999999</v>
      </c>
      <c r="K54" s="117">
        <f>IFERROR(ROUND(G54/J54,1),"")</f>
        <v/>
      </c>
      <c r="L54" s="118">
        <f>IFERROR(IF(K54&lt;4,"🔴 &lt;4Q",IF(K54&lt;8,"🟡 4-8Q","🟢 &gt;8Q")),"—")</f>
        <v/>
      </c>
      <c r="M54" s="135" t="n"/>
      <c r="N54" s="135" t="n"/>
      <c r="O54" s="119">
        <f>IFERROR(D54-G54,"")</f>
        <v/>
      </c>
      <c r="P54" s="137" t="inlineStr">
        <is>
          <t>yFinance / SEC EDGAR, Mar 2026</t>
        </is>
      </c>
    </row>
    <row r="55" ht="22" customHeight="1" s="89">
      <c r="A55" s="138" t="inlineStr">
        <is>
          <t>FOLD</t>
        </is>
      </c>
      <c r="B55" s="139" t="inlineStr">
        <is>
          <t>Amicus Therapeutics, Inc.</t>
        </is>
      </c>
      <c r="C55" s="140" t="inlineStr">
        <is>
          <t>Mar 2026</t>
        </is>
      </c>
      <c r="D55" s="141" t="n">
        <v>4512.2</v>
      </c>
      <c r="E55" s="142" t="n">
        <v>14.37</v>
      </c>
      <c r="F55" s="141" t="n">
        <v>314</v>
      </c>
      <c r="G55" s="141" t="n">
        <v>293.5</v>
      </c>
      <c r="H55" s="141" t="n"/>
      <c r="I55" s="141" t="n">
        <v>293.5</v>
      </c>
      <c r="J55" s="141" t="n"/>
      <c r="K55" s="143" t="inlineStr">
        <is>
          <t>CF+</t>
        </is>
      </c>
      <c r="L55" s="138" t="inlineStr">
        <is>
          <t>✅ CF+</t>
        </is>
      </c>
      <c r="M55" s="140" t="n"/>
      <c r="N55" s="140" t="n"/>
      <c r="O55" s="141">
        <f>IFERROR(D55-G55,"")</f>
        <v/>
      </c>
      <c r="P55" s="144" t="inlineStr">
        <is>
          <t>yFinance / SEC EDGAR, Mar 2026</t>
        </is>
      </c>
    </row>
    <row r="56" ht="22" customHeight="1" s="89">
      <c r="A56" s="118" t="inlineStr">
        <is>
          <t>TGTX</t>
        </is>
      </c>
      <c r="B56" s="134" t="inlineStr">
        <is>
          <t>TG Therapeutics, Inc.</t>
        </is>
      </c>
      <c r="C56" s="135" t="inlineStr">
        <is>
          <t>Mar 2026</t>
        </is>
      </c>
      <c r="D56" s="119" t="n">
        <v>4464.9</v>
      </c>
      <c r="E56" s="136" t="n">
        <v>27.96</v>
      </c>
      <c r="F56" s="119" t="n">
        <v>159.7</v>
      </c>
      <c r="G56" s="119" t="n">
        <v>142</v>
      </c>
      <c r="H56" s="119" t="n"/>
      <c r="I56" s="119" t="n">
        <v>142</v>
      </c>
      <c r="J56" s="119" t="n">
        <v>1.7</v>
      </c>
      <c r="K56" s="117">
        <f>IFERROR(ROUND(G56/J56,1),"")</f>
        <v/>
      </c>
      <c r="L56" s="118">
        <f>IFERROR(IF(K56&lt;4,"🔴 &lt;4Q",IF(K56&lt;8,"🟡 4-8Q","🟢 &gt;8Q")),"—")</f>
        <v/>
      </c>
      <c r="M56" s="135" t="n"/>
      <c r="N56" s="135" t="n"/>
      <c r="O56" s="119">
        <f>IFERROR(D56-G56,"")</f>
        <v/>
      </c>
      <c r="P56" s="137" t="inlineStr">
        <is>
          <t>yFinance / SEC EDGAR, Mar 2026</t>
        </is>
      </c>
    </row>
    <row r="57" ht="22" customHeight="1" s="89">
      <c r="A57" s="138" t="inlineStr">
        <is>
          <t>MMSI</t>
        </is>
      </c>
      <c r="B57" s="139" t="inlineStr">
        <is>
          <t>Merit Medical Systems, Inc.</t>
        </is>
      </c>
      <c r="C57" s="140" t="inlineStr">
        <is>
          <t>Mar 2026</t>
        </is>
      </c>
      <c r="D57" s="141" t="n">
        <v>4157.3</v>
      </c>
      <c r="E57" s="142" t="n">
        <v>69.95</v>
      </c>
      <c r="F57" s="141" t="n">
        <v>59.4</v>
      </c>
      <c r="G57" s="141" t="n">
        <v>446.4</v>
      </c>
      <c r="H57" s="141" t="n"/>
      <c r="I57" s="141" t="n">
        <v>446.4</v>
      </c>
      <c r="J57" s="141" t="n"/>
      <c r="K57" s="143" t="inlineStr">
        <is>
          <t>CF+</t>
        </is>
      </c>
      <c r="L57" s="138" t="inlineStr">
        <is>
          <t>✅ CF+</t>
        </is>
      </c>
      <c r="M57" s="140" t="n"/>
      <c r="N57" s="140" t="n"/>
      <c r="O57" s="141">
        <f>IFERROR(D57-G57,"")</f>
        <v/>
      </c>
      <c r="P57" s="144" t="inlineStr">
        <is>
          <t>yFinance / SEC EDGAR, Mar 2026</t>
        </is>
      </c>
    </row>
    <row r="58" ht="22" customHeight="1" s="89">
      <c r="A58" s="118" t="inlineStr">
        <is>
          <t>VKTX</t>
        </is>
      </c>
      <c r="B58" s="134" t="inlineStr">
        <is>
          <t>Viking Therapeutics, Inc.</t>
        </is>
      </c>
      <c r="C58" s="135" t="inlineStr">
        <is>
          <t>Mar 2026</t>
        </is>
      </c>
      <c r="D58" s="119" t="n">
        <v>4117.2</v>
      </c>
      <c r="E58" s="136" t="n">
        <v>35.63</v>
      </c>
      <c r="F58" s="119" t="n">
        <v>115.6</v>
      </c>
      <c r="G58" s="119" t="n">
        <v>705.7</v>
      </c>
      <c r="H58" s="119" t="n"/>
      <c r="I58" s="119" t="n">
        <v>705.7</v>
      </c>
      <c r="J58" s="119" t="n">
        <v>89.59999999999999</v>
      </c>
      <c r="K58" s="117">
        <f>IFERROR(ROUND(G58/J58,1),"")</f>
        <v/>
      </c>
      <c r="L58" s="118">
        <f>IFERROR(IF(K58&lt;4,"🔴 &lt;4Q",IF(K58&lt;8,"🟡 4-8Q","🟢 &gt;8Q")),"—")</f>
        <v/>
      </c>
      <c r="M58" s="135" t="n"/>
      <c r="N58" s="135" t="n"/>
      <c r="O58" s="119">
        <f>IFERROR(D58-G58,"")</f>
        <v/>
      </c>
      <c r="P58" s="137" t="inlineStr">
        <is>
          <t>yFinance / SEC EDGAR, Mar 2026</t>
        </is>
      </c>
    </row>
    <row r="59" ht="22" customHeight="1" s="89">
      <c r="A59" s="138" t="inlineStr">
        <is>
          <t>STVN</t>
        </is>
      </c>
      <c r="B59" s="139" t="inlineStr">
        <is>
          <t>Stevanato Group S.p.A.</t>
        </is>
      </c>
      <c r="C59" s="140" t="inlineStr">
        <is>
          <t>Mar 2026</t>
        </is>
      </c>
      <c r="D59" s="141" t="n">
        <v>4092.3</v>
      </c>
      <c r="E59" s="142" t="n">
        <v>14.99</v>
      </c>
      <c r="F59" s="141" t="n">
        <v>49.7</v>
      </c>
      <c r="G59" s="141" t="n">
        <v>132.4</v>
      </c>
      <c r="H59" s="141" t="n"/>
      <c r="I59" s="141" t="n">
        <v>132.4</v>
      </c>
      <c r="J59" s="141" t="n"/>
      <c r="K59" s="143" t="inlineStr">
        <is>
          <t>CF+</t>
        </is>
      </c>
      <c r="L59" s="138" t="inlineStr">
        <is>
          <t>✅ CF+</t>
        </is>
      </c>
      <c r="M59" s="140" t="n"/>
      <c r="N59" s="140" t="n"/>
      <c r="O59" s="141">
        <f>IFERROR(D59-G59,"")</f>
        <v/>
      </c>
      <c r="P59" s="144" t="inlineStr">
        <is>
          <t>yFinance / SEC EDGAR, Mar 2026</t>
        </is>
      </c>
    </row>
    <row r="60" ht="22" customHeight="1" s="89">
      <c r="A60" s="118" t="inlineStr">
        <is>
          <t>LGND</t>
        </is>
      </c>
      <c r="B60" s="134" t="inlineStr">
        <is>
          <t>Ligand Pharmaceuticals Incorporated</t>
        </is>
      </c>
      <c r="C60" s="135" t="inlineStr">
        <is>
          <t>Mar 2026</t>
        </is>
      </c>
      <c r="D60" s="119" t="n">
        <v>4046.3</v>
      </c>
      <c r="E60" s="136" t="n">
        <v>202.91</v>
      </c>
      <c r="F60" s="119" t="n">
        <v>19.9</v>
      </c>
      <c r="G60" s="119" t="n">
        <v>733.5</v>
      </c>
      <c r="H60" s="119" t="n"/>
      <c r="I60" s="119" t="n">
        <v>733.5</v>
      </c>
      <c r="J60" s="119" t="n"/>
      <c r="K60" s="117" t="inlineStr">
        <is>
          <t>CF+</t>
        </is>
      </c>
      <c r="L60" s="118" t="inlineStr">
        <is>
          <t>✅ CF+</t>
        </is>
      </c>
      <c r="M60" s="135" t="n"/>
      <c r="N60" s="135" t="n"/>
      <c r="O60" s="119">
        <f>IFERROR(D60-G60,"")</f>
        <v/>
      </c>
      <c r="P60" s="137" t="inlineStr">
        <is>
          <t>yFinance / SEC EDGAR, Mar 2026</t>
        </is>
      </c>
    </row>
    <row r="61" ht="22" customHeight="1" s="89">
      <c r="A61" s="138" t="inlineStr">
        <is>
          <t>ADMA</t>
        </is>
      </c>
      <c r="B61" s="139" t="inlineStr">
        <is>
          <t>ADMA Biologics, Inc.</t>
        </is>
      </c>
      <c r="C61" s="140" t="inlineStr">
        <is>
          <t>Mar 2026</t>
        </is>
      </c>
      <c r="D61" s="141" t="n">
        <v>3608.1</v>
      </c>
      <c r="E61" s="142" t="n">
        <v>15.15</v>
      </c>
      <c r="F61" s="141" t="n">
        <v>238.2</v>
      </c>
      <c r="G61" s="141" t="n">
        <v>87.59999999999999</v>
      </c>
      <c r="H61" s="141" t="n"/>
      <c r="I61" s="141" t="n">
        <v>87.59999999999999</v>
      </c>
      <c r="J61" s="141" t="n"/>
      <c r="K61" s="143" t="inlineStr">
        <is>
          <t>CF+</t>
        </is>
      </c>
      <c r="L61" s="138" t="inlineStr">
        <is>
          <t>✅ CF+</t>
        </is>
      </c>
      <c r="M61" s="140" t="n"/>
      <c r="N61" s="140" t="n"/>
      <c r="O61" s="141">
        <f>IFERROR(D61-G61,"")</f>
        <v/>
      </c>
      <c r="P61" s="144" t="inlineStr">
        <is>
          <t>yFinance / SEC EDGAR, Mar 2026</t>
        </is>
      </c>
    </row>
    <row r="62" ht="22" customHeight="1" s="89">
      <c r="A62" s="118" t="inlineStr">
        <is>
          <t>LEGN</t>
        </is>
      </c>
      <c r="B62" s="134" t="inlineStr">
        <is>
          <t>Legend Biotech Corporation</t>
        </is>
      </c>
      <c r="C62" s="135" t="inlineStr">
        <is>
          <t>Mar 2026</t>
        </is>
      </c>
      <c r="D62" s="119" t="n">
        <v>3462.9</v>
      </c>
      <c r="E62" s="136" t="n">
        <v>18.75</v>
      </c>
      <c r="F62" s="119" t="n">
        <v>184.7</v>
      </c>
      <c r="G62" s="119" t="n">
        <v>948.6</v>
      </c>
      <c r="H62" s="119" t="n"/>
      <c r="I62" s="119" t="n">
        <v>948.6</v>
      </c>
      <c r="J62" s="119" t="n">
        <v>25.1</v>
      </c>
      <c r="K62" s="117">
        <f>IFERROR(ROUND(G62/J62,1),"")</f>
        <v/>
      </c>
      <c r="L62" s="118">
        <f>IFERROR(IF(K62&lt;4,"🔴 &lt;4Q",IF(K62&lt;8,"🟡 4-8Q","🟢 &gt;8Q")),"—")</f>
        <v/>
      </c>
      <c r="M62" s="135" t="n"/>
      <c r="N62" s="135" t="n"/>
      <c r="O62" s="119">
        <f>IFERROR(D62-G62,"")</f>
        <v/>
      </c>
      <c r="P62" s="137" t="inlineStr">
        <is>
          <t>yFinance / SEC EDGAR, Mar 2026</t>
        </is>
      </c>
    </row>
    <row r="63" ht="22" customHeight="1" s="89">
      <c r="A63" s="138" t="inlineStr">
        <is>
          <t>NAMS</t>
        </is>
      </c>
      <c r="B63" s="139" t="inlineStr">
        <is>
          <t>NewAmsterdam Pharma Company N.V.</t>
        </is>
      </c>
      <c r="C63" s="140" t="inlineStr">
        <is>
          <t>Mar 2026</t>
        </is>
      </c>
      <c r="D63" s="141" t="n">
        <v>3290.6</v>
      </c>
      <c r="E63" s="142" t="n">
        <v>28.62</v>
      </c>
      <c r="F63" s="141" t="n">
        <v>115</v>
      </c>
      <c r="G63" s="141" t="n">
        <v>636.2</v>
      </c>
      <c r="H63" s="141" t="n"/>
      <c r="I63" s="141" t="n">
        <v>636.2</v>
      </c>
      <c r="J63" s="141" t="n">
        <v>36.8</v>
      </c>
      <c r="K63" s="143">
        <f>IFERROR(ROUND(G63/J63,1),"")</f>
        <v/>
      </c>
      <c r="L63" s="138">
        <f>IFERROR(IF(K63&lt;4,"🔴 &lt;4Q",IF(K63&lt;8,"🟡 4-8Q","🟢 &gt;8Q")),"—")</f>
        <v/>
      </c>
      <c r="M63" s="140" t="n"/>
      <c r="N63" s="140" t="n"/>
      <c r="O63" s="141">
        <f>IFERROR(D63-G63,"")</f>
        <v/>
      </c>
      <c r="P63" s="144" t="inlineStr">
        <is>
          <t>yFinance / SEC EDGAR, Mar 2026</t>
        </is>
      </c>
    </row>
    <row r="64" ht="22" customHeight="1" s="89">
      <c r="A64" s="118" t="inlineStr">
        <is>
          <t>DNLI</t>
        </is>
      </c>
      <c r="B64" s="134" t="inlineStr">
        <is>
          <t>Denali Therapeutics Inc.</t>
        </is>
      </c>
      <c r="C64" s="135" t="inlineStr">
        <is>
          <t>Mar 2026</t>
        </is>
      </c>
      <c r="D64" s="119" t="n">
        <v>3262.2</v>
      </c>
      <c r="E64" s="136" t="n">
        <v>20.57</v>
      </c>
      <c r="F64" s="119" t="n">
        <v>158.6</v>
      </c>
      <c r="G64" s="119" t="n">
        <v>867.9</v>
      </c>
      <c r="H64" s="119" t="n"/>
      <c r="I64" s="119" t="n">
        <v>867.9</v>
      </c>
      <c r="J64" s="119" t="n">
        <v>102.9</v>
      </c>
      <c r="K64" s="117">
        <f>IFERROR(ROUND(G64/J64,1),"")</f>
        <v/>
      </c>
      <c r="L64" s="118">
        <f>IFERROR(IF(K64&lt;4,"🔴 &lt;4Q",IF(K64&lt;8,"🟡 4-8Q","🟢 &gt;8Q")),"—")</f>
        <v/>
      </c>
      <c r="M64" s="135" t="n"/>
      <c r="N64" s="135" t="n"/>
      <c r="O64" s="119">
        <f>IFERROR(D64-G64,"")</f>
        <v/>
      </c>
      <c r="P64" s="137" t="inlineStr">
        <is>
          <t>yFinance / SEC EDGAR, Mar 2026</t>
        </is>
      </c>
    </row>
    <row r="65" ht="22" customHeight="1" s="89">
      <c r="A65" s="138" t="inlineStr">
        <is>
          <t>LQDA</t>
        </is>
      </c>
      <c r="B65" s="139" t="inlineStr">
        <is>
          <t>Liquidia Corporation</t>
        </is>
      </c>
      <c r="C65" s="140" t="inlineStr">
        <is>
          <t>Mar 2026</t>
        </is>
      </c>
      <c r="D65" s="141" t="n">
        <v>3189.3</v>
      </c>
      <c r="E65" s="142" t="n">
        <v>36.66</v>
      </c>
      <c r="F65" s="141" t="n">
        <v>87</v>
      </c>
      <c r="G65" s="141" t="n">
        <v>190.7</v>
      </c>
      <c r="H65" s="141" t="n"/>
      <c r="I65" s="141" t="n">
        <v>190.7</v>
      </c>
      <c r="J65" s="141" t="n">
        <v>24.6</v>
      </c>
      <c r="K65" s="143">
        <f>IFERROR(ROUND(G65/J65,1),"")</f>
        <v/>
      </c>
      <c r="L65" s="138">
        <f>IFERROR(IF(K65&lt;4,"🔴 &lt;4Q",IF(K65&lt;8,"🟡 4-8Q","🟢 &gt;8Q")),"—")</f>
        <v/>
      </c>
      <c r="M65" s="140" t="n"/>
      <c r="N65" s="140" t="n"/>
      <c r="O65" s="141">
        <f>IFERROR(D65-G65,"")</f>
        <v/>
      </c>
      <c r="P65" s="144" t="inlineStr">
        <is>
          <t>yFinance / SEC EDGAR, Mar 2026</t>
        </is>
      </c>
    </row>
    <row r="66" ht="22" customHeight="1" s="89">
      <c r="A66" s="118" t="inlineStr">
        <is>
          <t>DORM</t>
        </is>
      </c>
      <c r="B66" s="134" t="inlineStr">
        <is>
          <t>Dorman Products, Inc.</t>
        </is>
      </c>
      <c r="C66" s="135" t="inlineStr">
        <is>
          <t>Mar 2026</t>
        </is>
      </c>
      <c r="D66" s="119" t="n">
        <v>3142.1</v>
      </c>
      <c r="E66" s="136" t="n">
        <v>102.81</v>
      </c>
      <c r="F66" s="119" t="n">
        <v>30.2</v>
      </c>
      <c r="G66" s="119" t="n">
        <v>49.4</v>
      </c>
      <c r="H66" s="119" t="n"/>
      <c r="I66" s="119" t="n">
        <v>49.4</v>
      </c>
      <c r="J66" s="119" t="n"/>
      <c r="K66" s="117" t="inlineStr">
        <is>
          <t>CF+</t>
        </is>
      </c>
      <c r="L66" s="118" t="inlineStr">
        <is>
          <t>✅ CF+</t>
        </is>
      </c>
      <c r="M66" s="135" t="n"/>
      <c r="N66" s="135" t="n"/>
      <c r="O66" s="119">
        <f>IFERROR(D66-G66,"")</f>
        <v/>
      </c>
      <c r="P66" s="137" t="inlineStr">
        <is>
          <t>yFinance / SEC EDGAR, Mar 2026</t>
        </is>
      </c>
    </row>
    <row r="67" ht="22" customHeight="1" s="89">
      <c r="A67" s="138" t="inlineStr">
        <is>
          <t>IDYA</t>
        </is>
      </c>
      <c r="B67" s="139" t="inlineStr">
        <is>
          <t>IDEAYA Biosciences, Inc.</t>
        </is>
      </c>
      <c r="C67" s="140" t="inlineStr">
        <is>
          <t>Mar 2026</t>
        </is>
      </c>
      <c r="D67" s="141" t="n">
        <v>2905.8</v>
      </c>
      <c r="E67" s="142" t="n">
        <v>33.09</v>
      </c>
      <c r="F67" s="141" t="n">
        <v>87.8</v>
      </c>
      <c r="G67" s="141" t="n">
        <v>639.4</v>
      </c>
      <c r="H67" s="141" t="n"/>
      <c r="I67" s="141" t="n">
        <v>639.4</v>
      </c>
      <c r="J67" s="141" t="n">
        <v>17.8</v>
      </c>
      <c r="K67" s="143">
        <f>IFERROR(ROUND(G67/J67,1),"")</f>
        <v/>
      </c>
      <c r="L67" s="138">
        <f>IFERROR(IF(K67&lt;4,"🔴 &lt;4Q",IF(K67&lt;8,"🟡 4-8Q","🟢 &gt;8Q")),"—")</f>
        <v/>
      </c>
      <c r="M67" s="140" t="n"/>
      <c r="N67" s="140" t="n"/>
      <c r="O67" s="141">
        <f>IFERROR(D67-G67,"")</f>
        <v/>
      </c>
      <c r="P67" s="144" t="inlineStr">
        <is>
          <t>yFinance / SEC EDGAR, Mar 2026</t>
        </is>
      </c>
    </row>
    <row r="68" ht="22" customHeight="1" s="89">
      <c r="A68" s="118" t="inlineStr">
        <is>
          <t>TARS</t>
        </is>
      </c>
      <c r="B68" s="134" t="inlineStr">
        <is>
          <t>Tarsus Pharmaceuticals, Inc.</t>
        </is>
      </c>
      <c r="C68" s="135" t="inlineStr">
        <is>
          <t>Mar 2026</t>
        </is>
      </c>
      <c r="D68" s="119" t="n">
        <v>2892.2</v>
      </c>
      <c r="E68" s="136" t="n">
        <v>67.95999999999999</v>
      </c>
      <c r="F68" s="119" t="n">
        <v>42.6</v>
      </c>
      <c r="G68" s="119" t="n">
        <v>417.3</v>
      </c>
      <c r="H68" s="119" t="n"/>
      <c r="I68" s="119" t="n">
        <v>417.3</v>
      </c>
      <c r="J68" s="119" t="n">
        <v>3.1</v>
      </c>
      <c r="K68" s="117">
        <f>IFERROR(ROUND(G68/J68,1),"")</f>
        <v/>
      </c>
      <c r="L68" s="118">
        <f>IFERROR(IF(K68&lt;4,"🔴 &lt;4Q",IF(K68&lt;8,"🟡 4-8Q","🟢 &gt;8Q")),"—")</f>
        <v/>
      </c>
      <c r="M68" s="135" t="n"/>
      <c r="N68" s="135" t="n"/>
      <c r="O68" s="119">
        <f>IFERROR(D68-G68,"")</f>
        <v/>
      </c>
      <c r="P68" s="137" t="inlineStr">
        <is>
          <t>yFinance / SEC EDGAR, Mar 2026</t>
        </is>
      </c>
    </row>
    <row r="69" ht="22" customHeight="1" s="89">
      <c r="A69" s="138" t="inlineStr">
        <is>
          <t>CPRX</t>
        </is>
      </c>
      <c r="B69" s="139" t="inlineStr">
        <is>
          <t>Catalyst Pharmaceuticals, Inc.</t>
        </is>
      </c>
      <c r="C69" s="140" t="inlineStr">
        <is>
          <t>Mar 2026</t>
        </is>
      </c>
      <c r="D69" s="141" t="n">
        <v>2855.3</v>
      </c>
      <c r="E69" s="142" t="n">
        <v>23.23</v>
      </c>
      <c r="F69" s="141" t="n">
        <v>122.1</v>
      </c>
      <c r="G69" s="141" t="n">
        <v>709.2</v>
      </c>
      <c r="H69" s="141" t="n"/>
      <c r="I69" s="141" t="n">
        <v>709.2</v>
      </c>
      <c r="J69" s="141" t="n"/>
      <c r="K69" s="143" t="inlineStr">
        <is>
          <t>CF+</t>
        </is>
      </c>
      <c r="L69" s="138" t="inlineStr">
        <is>
          <t>✅ CF+</t>
        </is>
      </c>
      <c r="M69" s="140" t="n"/>
      <c r="N69" s="140" t="n"/>
      <c r="O69" s="141">
        <f>IFERROR(D69-G69,"")</f>
        <v/>
      </c>
      <c r="P69" s="144" t="inlineStr">
        <is>
          <t>yFinance / SEC EDGAR, Mar 2026</t>
        </is>
      </c>
    </row>
    <row r="70" ht="22" customHeight="1" s="89">
      <c r="A70" s="118" t="inlineStr">
        <is>
          <t>VERA</t>
        </is>
      </c>
      <c r="B70" s="134" t="inlineStr">
        <is>
          <t>Vera Therapeutics, Inc.</t>
        </is>
      </c>
      <c r="C70" s="135" t="inlineStr">
        <is>
          <t>Mar 2026</t>
        </is>
      </c>
      <c r="D70" s="119" t="n">
        <v>2851.4</v>
      </c>
      <c r="E70" s="136" t="n">
        <v>39.96</v>
      </c>
      <c r="F70" s="119" t="n">
        <v>71.40000000000001</v>
      </c>
      <c r="G70" s="119" t="n">
        <v>714.6</v>
      </c>
      <c r="H70" s="119" t="n"/>
      <c r="I70" s="119" t="n">
        <v>714.6</v>
      </c>
      <c r="J70" s="119" t="n">
        <v>66</v>
      </c>
      <c r="K70" s="117">
        <f>IFERROR(ROUND(G70/J70,1),"")</f>
        <v/>
      </c>
      <c r="L70" s="118">
        <f>IFERROR(IF(K70&lt;4,"🔴 &lt;4Q",IF(K70&lt;8,"🟡 4-8Q","🟢 &gt;8Q")),"—")</f>
        <v/>
      </c>
      <c r="M70" s="135" t="n"/>
      <c r="N70" s="135" t="n"/>
      <c r="O70" s="119">
        <f>IFERROR(D70-G70,"")</f>
        <v/>
      </c>
      <c r="P70" s="137" t="inlineStr">
        <is>
          <t>yFinance / SEC EDGAR, Mar 2026</t>
        </is>
      </c>
    </row>
    <row r="71" ht="22" customHeight="1" s="89">
      <c r="A71" s="138" t="inlineStr">
        <is>
          <t>ARQT</t>
        </is>
      </c>
      <c r="B71" s="139" t="inlineStr">
        <is>
          <t>Arcutis Biotherapeutics, Inc.</t>
        </is>
      </c>
      <c r="C71" s="140" t="inlineStr">
        <is>
          <t>Mar 2026</t>
        </is>
      </c>
      <c r="D71" s="141" t="n">
        <v>2821.8</v>
      </c>
      <c r="E71" s="142" t="n">
        <v>22.75</v>
      </c>
      <c r="F71" s="141" t="n">
        <v>124</v>
      </c>
      <c r="G71" s="141" t="n">
        <v>221</v>
      </c>
      <c r="H71" s="141" t="n"/>
      <c r="I71" s="141" t="n">
        <v>221</v>
      </c>
      <c r="J71" s="141" t="n">
        <v>1.4</v>
      </c>
      <c r="K71" s="143">
        <f>IFERROR(ROUND(G71/J71,1),"")</f>
        <v/>
      </c>
      <c r="L71" s="138">
        <f>IFERROR(IF(K71&lt;4,"🔴 &lt;4Q",IF(K71&lt;8,"🟡 4-8Q","🟢 &gt;8Q")),"—")</f>
        <v/>
      </c>
      <c r="M71" s="140" t="n"/>
      <c r="N71" s="140" t="n"/>
      <c r="O71" s="141">
        <f>IFERROR(D71-G71,"")</f>
        <v/>
      </c>
      <c r="P71" s="144" t="inlineStr">
        <is>
          <t>yFinance / SEC EDGAR, Mar 2026</t>
        </is>
      </c>
    </row>
    <row r="72" ht="22" customHeight="1" s="89">
      <c r="A72" s="118" t="inlineStr">
        <is>
          <t>RCUS</t>
        </is>
      </c>
      <c r="B72" s="134" t="inlineStr">
        <is>
          <t>Arcus Biosciences, Inc.</t>
        </is>
      </c>
      <c r="C72" s="135" t="inlineStr">
        <is>
          <t>Mar 2026</t>
        </is>
      </c>
      <c r="D72" s="119" t="n">
        <v>2753.9</v>
      </c>
      <c r="E72" s="136" t="n">
        <v>21.97</v>
      </c>
      <c r="F72" s="119" t="n">
        <v>125.3</v>
      </c>
      <c r="G72" s="119" t="n">
        <v>981</v>
      </c>
      <c r="H72" s="119" t="n"/>
      <c r="I72" s="119" t="n">
        <v>981</v>
      </c>
      <c r="J72" s="119" t="n">
        <v>108.5</v>
      </c>
      <c r="K72" s="117">
        <f>IFERROR(ROUND(G72/J72,1),"")</f>
        <v/>
      </c>
      <c r="L72" s="118">
        <f>IFERROR(IF(K72&lt;4,"🔴 &lt;4Q",IF(K72&lt;8,"🟡 4-8Q","🟢 &gt;8Q")),"—")</f>
        <v/>
      </c>
      <c r="M72" s="135" t="n"/>
      <c r="N72" s="135" t="n"/>
      <c r="O72" s="119">
        <f>IFERROR(D72-G72,"")</f>
        <v/>
      </c>
      <c r="P72" s="137" t="inlineStr">
        <is>
          <t>yFinance / SEC EDGAR, Mar 2026</t>
        </is>
      </c>
    </row>
    <row r="73" ht="22" customHeight="1" s="89">
      <c r="A73" s="138" t="inlineStr">
        <is>
          <t>PRVA</t>
        </is>
      </c>
      <c r="B73" s="139" t="inlineStr">
        <is>
          <t>Privia Health Group, Inc.</t>
        </is>
      </c>
      <c r="C73" s="140" t="inlineStr">
        <is>
          <t>Mar 2026</t>
        </is>
      </c>
      <c r="D73" s="141" t="n">
        <v>2681.6</v>
      </c>
      <c r="E73" s="142" t="n">
        <v>21.68</v>
      </c>
      <c r="F73" s="141" t="n">
        <v>123.7</v>
      </c>
      <c r="G73" s="141" t="n">
        <v>479.7</v>
      </c>
      <c r="H73" s="141" t="n"/>
      <c r="I73" s="141" t="n">
        <v>479.7</v>
      </c>
      <c r="J73" s="141" t="n"/>
      <c r="K73" s="143" t="inlineStr">
        <is>
          <t>CF+</t>
        </is>
      </c>
      <c r="L73" s="138" t="inlineStr">
        <is>
          <t>✅ CF+</t>
        </is>
      </c>
      <c r="M73" s="140" t="n"/>
      <c r="N73" s="140" t="n"/>
      <c r="O73" s="141">
        <f>IFERROR(D73-G73,"")</f>
        <v/>
      </c>
      <c r="P73" s="144" t="inlineStr">
        <is>
          <t>yFinance / SEC EDGAR, Mar 2026</t>
        </is>
      </c>
    </row>
    <row r="74" ht="22" customHeight="1" s="89">
      <c r="A74" s="118" t="inlineStr">
        <is>
          <t>TVTX</t>
        </is>
      </c>
      <c r="B74" s="134" t="inlineStr">
        <is>
          <t>Travere Therapeutics, Inc.</t>
        </is>
      </c>
      <c r="C74" s="135" t="inlineStr">
        <is>
          <t>Mar 2026</t>
        </is>
      </c>
      <c r="D74" s="119" t="n">
        <v>2564.3</v>
      </c>
      <c r="E74" s="136" t="n">
        <v>27.8</v>
      </c>
      <c r="F74" s="119" t="n">
        <v>92.2</v>
      </c>
      <c r="G74" s="119" t="n">
        <v>322.8</v>
      </c>
      <c r="H74" s="119" t="n"/>
      <c r="I74" s="119" t="n">
        <v>322.8</v>
      </c>
      <c r="J74" s="119" t="n"/>
      <c r="K74" s="117" t="inlineStr">
        <is>
          <t>CF+</t>
        </is>
      </c>
      <c r="L74" s="118" t="inlineStr">
        <is>
          <t>✅ CF+</t>
        </is>
      </c>
      <c r="M74" s="135" t="n"/>
      <c r="N74" s="135" t="n"/>
      <c r="O74" s="119">
        <f>IFERROR(D74-G74,"")</f>
        <v/>
      </c>
      <c r="P74" s="137" t="inlineStr">
        <is>
          <t>yFinance / SEC EDGAR, Mar 2026</t>
        </is>
      </c>
    </row>
    <row r="75" ht="22" customHeight="1" s="89">
      <c r="A75" s="138" t="inlineStr">
        <is>
          <t>BEAM</t>
        </is>
      </c>
      <c r="B75" s="139" t="inlineStr">
        <is>
          <t>Beam Therapeutics Inc.</t>
        </is>
      </c>
      <c r="C75" s="140" t="inlineStr">
        <is>
          <t>Mar 2026</t>
        </is>
      </c>
      <c r="D75" s="141" t="n">
        <v>2562.7</v>
      </c>
      <c r="E75" s="142" t="n">
        <v>25.16</v>
      </c>
      <c r="F75" s="141" t="n">
        <v>101.9</v>
      </c>
      <c r="G75" s="141" t="n">
        <v>1245.2</v>
      </c>
      <c r="H75" s="141" t="n"/>
      <c r="I75" s="141" t="n">
        <v>1245.2</v>
      </c>
      <c r="J75" s="141" t="n">
        <v>82.40000000000001</v>
      </c>
      <c r="K75" s="143">
        <f>IFERROR(ROUND(G75/J75,1),"")</f>
        <v/>
      </c>
      <c r="L75" s="138">
        <f>IFERROR(IF(K75&lt;4,"🔴 &lt;4Q",IF(K75&lt;8,"🟡 4-8Q","🟢 &gt;8Q")),"—")</f>
        <v/>
      </c>
      <c r="M75" s="140" t="n"/>
      <c r="N75" s="140" t="n"/>
      <c r="O75" s="141">
        <f>IFERROR(D75-G75,"")</f>
        <v/>
      </c>
      <c r="P75" s="144" t="inlineStr">
        <is>
          <t>yFinance / SEC EDGAR, Mar 2026</t>
        </is>
      </c>
    </row>
    <row r="76" ht="22" customHeight="1" s="89">
      <c r="A76" s="118" t="inlineStr">
        <is>
          <t>UCTT</t>
        </is>
      </c>
      <c r="B76" s="134" t="inlineStr">
        <is>
          <t>Ultra Clean Holdings, Inc.</t>
        </is>
      </c>
      <c r="C76" s="135" t="inlineStr">
        <is>
          <t>Mar 2026</t>
        </is>
      </c>
      <c r="D76" s="119" t="n">
        <v>2500.6</v>
      </c>
      <c r="E76" s="136" t="n">
        <v>54.97</v>
      </c>
      <c r="F76" s="119" t="n">
        <v>45.5</v>
      </c>
      <c r="G76" s="119" t="n">
        <v>311.8</v>
      </c>
      <c r="H76" s="119" t="n"/>
      <c r="I76" s="119" t="n">
        <v>311.8</v>
      </c>
      <c r="J76" s="119" t="n"/>
      <c r="K76" s="117" t="inlineStr">
        <is>
          <t>CF+</t>
        </is>
      </c>
      <c r="L76" s="118" t="inlineStr">
        <is>
          <t>✅ CF+</t>
        </is>
      </c>
      <c r="M76" s="135" t="n"/>
      <c r="N76" s="135" t="n"/>
      <c r="O76" s="119">
        <f>IFERROR(D76-G76,"")</f>
        <v/>
      </c>
      <c r="P76" s="137" t="inlineStr">
        <is>
          <t>yFinance / SEC EDGAR, Mar 2026</t>
        </is>
      </c>
    </row>
    <row r="77" ht="22" customHeight="1" s="89">
      <c r="A77" s="138" t="inlineStr">
        <is>
          <t>APLS</t>
        </is>
      </c>
      <c r="B77" s="139" t="inlineStr">
        <is>
          <t>Apellis Pharmaceuticals, Inc.</t>
        </is>
      </c>
      <c r="C77" s="140" t="inlineStr">
        <is>
          <t>Mar 2026</t>
        </is>
      </c>
      <c r="D77" s="141" t="n">
        <v>2421.1</v>
      </c>
      <c r="E77" s="142" t="n">
        <v>18.94</v>
      </c>
      <c r="F77" s="141" t="n">
        <v>127.8</v>
      </c>
      <c r="G77" s="141" t="n">
        <v>467.8</v>
      </c>
      <c r="H77" s="141" t="n"/>
      <c r="I77" s="141" t="n">
        <v>467.8</v>
      </c>
      <c r="J77" s="141" t="n"/>
      <c r="K77" s="143" t="inlineStr">
        <is>
          <t>CF+</t>
        </is>
      </c>
      <c r="L77" s="138" t="inlineStr">
        <is>
          <t>✅ CF+</t>
        </is>
      </c>
      <c r="M77" s="140" t="n"/>
      <c r="N77" s="140" t="n"/>
      <c r="O77" s="141">
        <f>IFERROR(D77-G77,"")</f>
        <v/>
      </c>
      <c r="P77" s="144" t="inlineStr">
        <is>
          <t>yFinance / SEC EDGAR, Mar 2026</t>
        </is>
      </c>
    </row>
    <row r="78" ht="22" customHeight="1" s="89">
      <c r="A78" s="118" t="inlineStr">
        <is>
          <t>MAZE</t>
        </is>
      </c>
      <c r="B78" s="134" t="inlineStr">
        <is>
          <t>Maze Therapeutics, Inc.</t>
        </is>
      </c>
      <c r="C78" s="135" t="inlineStr">
        <is>
          <t>Mar 2026</t>
        </is>
      </c>
      <c r="D78" s="119" t="n">
        <v>2416.1</v>
      </c>
      <c r="E78" s="136" t="n">
        <v>50.21</v>
      </c>
      <c r="F78" s="119" t="n">
        <v>48.1</v>
      </c>
      <c r="G78" s="119" t="n">
        <v>383.9</v>
      </c>
      <c r="H78" s="119" t="n"/>
      <c r="I78" s="119" t="n">
        <v>383.9</v>
      </c>
      <c r="J78" s="119" t="n">
        <v>27.3</v>
      </c>
      <c r="K78" s="117">
        <f>IFERROR(ROUND(G78/J78,1),"")</f>
        <v/>
      </c>
      <c r="L78" s="118">
        <f>IFERROR(IF(K78&lt;4,"🔴 &lt;4Q",IF(K78&lt;8,"🟡 4-8Q","🟢 &gt;8Q")),"—")</f>
        <v/>
      </c>
      <c r="M78" s="135" t="n"/>
      <c r="N78" s="135" t="n"/>
      <c r="O78" s="119">
        <f>IFERROR(D78-G78,"")</f>
        <v/>
      </c>
      <c r="P78" s="137" t="inlineStr">
        <is>
          <t>yFinance / SEC EDGAR, Mar 2026</t>
        </is>
      </c>
    </row>
    <row r="79" ht="22" customHeight="1" s="89">
      <c r="A79" s="138" t="inlineStr">
        <is>
          <t>ATRO</t>
        </is>
      </c>
      <c r="B79" s="139" t="inlineStr">
        <is>
          <t>Astronics Corporation</t>
        </is>
      </c>
      <c r="C79" s="140" t="inlineStr">
        <is>
          <t>Mar 2026</t>
        </is>
      </c>
      <c r="D79" s="141" t="n">
        <v>2281.7</v>
      </c>
      <c r="E79" s="142" t="n">
        <v>63.93</v>
      </c>
      <c r="F79" s="141" t="n">
        <v>31.9</v>
      </c>
      <c r="G79" s="141" t="n">
        <v>18.2</v>
      </c>
      <c r="H79" s="141" t="n"/>
      <c r="I79" s="141" t="n">
        <v>18.2</v>
      </c>
      <c r="J79" s="141" t="n"/>
      <c r="K79" s="143" t="inlineStr">
        <is>
          <t>CF+</t>
        </is>
      </c>
      <c r="L79" s="138" t="inlineStr">
        <is>
          <t>✅ CF+</t>
        </is>
      </c>
      <c r="M79" s="140" t="n"/>
      <c r="N79" s="140" t="n"/>
      <c r="O79" s="141">
        <f>IFERROR(D79-G79,"")</f>
        <v/>
      </c>
      <c r="P79" s="144" t="inlineStr">
        <is>
          <t>yFinance / SEC EDGAR, Mar 2026</t>
        </is>
      </c>
    </row>
    <row r="80" ht="22" customHeight="1" s="89">
      <c r="A80" s="118" t="inlineStr">
        <is>
          <t>AVDL</t>
        </is>
      </c>
      <c r="B80" s="134" t="inlineStr">
        <is>
          <t>Avadel Pharmaceuticals PLC</t>
        </is>
      </c>
      <c r="C80" s="135" t="inlineStr">
        <is>
          <t>Mar 2026</t>
        </is>
      </c>
      <c r="D80" s="119" t="n">
        <v>2124</v>
      </c>
      <c r="E80" s="136" t="n">
        <v>21.64</v>
      </c>
      <c r="F80" s="119" t="n">
        <v>98.2</v>
      </c>
      <c r="G80" s="119" t="n">
        <v>91.59999999999999</v>
      </c>
      <c r="H80" s="119" t="n"/>
      <c r="I80" s="119" t="n">
        <v>91.59999999999999</v>
      </c>
      <c r="J80" s="119" t="n"/>
      <c r="K80" s="117" t="inlineStr">
        <is>
          <t>CF+</t>
        </is>
      </c>
      <c r="L80" s="118" t="inlineStr">
        <is>
          <t>✅ CF+</t>
        </is>
      </c>
      <c r="M80" s="135" t="n"/>
      <c r="N80" s="135" t="n"/>
      <c r="O80" s="119">
        <f>IFERROR(D80-G80,"")</f>
        <v/>
      </c>
      <c r="P80" s="137" t="inlineStr">
        <is>
          <t>yFinance / SEC EDGAR, Mar 2026</t>
        </is>
      </c>
    </row>
    <row r="81" ht="22" customHeight="1" s="89">
      <c r="A81" s="138" t="inlineStr">
        <is>
          <t>GLPG</t>
        </is>
      </c>
      <c r="B81" s="139" t="inlineStr">
        <is>
          <t>Galapagos NV</t>
        </is>
      </c>
      <c r="C81" s="140" t="inlineStr">
        <is>
          <t>Mar 2026</t>
        </is>
      </c>
      <c r="D81" s="141" t="n">
        <v>2089.6</v>
      </c>
      <c r="E81" s="142" t="n">
        <v>31.71</v>
      </c>
      <c r="F81" s="141" t="n">
        <v>65.90000000000001</v>
      </c>
      <c r="G81" s="141" t="n">
        <v>2998</v>
      </c>
      <c r="H81" s="141" t="n"/>
      <c r="I81" s="141" t="n">
        <v>2998</v>
      </c>
      <c r="J81" s="141" t="n">
        <v>85.7</v>
      </c>
      <c r="K81" s="143">
        <f>IFERROR(ROUND(G81/J81,1),"")</f>
        <v/>
      </c>
      <c r="L81" s="138">
        <f>IFERROR(IF(K81&lt;4,"🔴 &lt;4Q",IF(K81&lt;8,"🟡 4-8Q","🟢 &gt;8Q")),"—")</f>
        <v/>
      </c>
      <c r="M81" s="140" t="n"/>
      <c r="N81" s="140" t="n"/>
      <c r="O81" s="141">
        <f>IFERROR(D81-G81,"")</f>
        <v/>
      </c>
      <c r="P81" s="144" t="inlineStr">
        <is>
          <t>yFinance / SEC EDGAR, Mar 2026</t>
        </is>
      </c>
    </row>
    <row r="82" ht="22" customHeight="1" s="89">
      <c r="A82" s="118" t="inlineStr">
        <is>
          <t>RARE</t>
        </is>
      </c>
      <c r="B82" s="134" t="inlineStr">
        <is>
          <t>Ultragenyx Pharmaceutical Inc.</t>
        </is>
      </c>
      <c r="C82" s="135" t="inlineStr">
        <is>
          <t>Mar 2026</t>
        </is>
      </c>
      <c r="D82" s="119" t="n">
        <v>2062.1</v>
      </c>
      <c r="E82" s="136" t="n">
        <v>21.34</v>
      </c>
      <c r="F82" s="119" t="n">
        <v>96.59999999999999</v>
      </c>
      <c r="G82" s="119" t="n">
        <v>680</v>
      </c>
      <c r="H82" s="119" t="n"/>
      <c r="I82" s="119" t="n">
        <v>680</v>
      </c>
      <c r="J82" s="119" t="n">
        <v>95.59999999999999</v>
      </c>
      <c r="K82" s="117">
        <f>IFERROR(ROUND(G82/J82,1),"")</f>
        <v/>
      </c>
      <c r="L82" s="118">
        <f>IFERROR(IF(K82&lt;4,"🔴 &lt;4Q",IF(K82&lt;8,"🟡 4-8Q","🟢 &gt;8Q")),"—")</f>
        <v/>
      </c>
      <c r="M82" s="135" t="n"/>
      <c r="N82" s="135" t="n"/>
      <c r="O82" s="119">
        <f>IFERROR(D82-G82,"")</f>
        <v/>
      </c>
      <c r="P82" s="137" t="inlineStr">
        <is>
          <t>yFinance / SEC EDGAR, Mar 2026</t>
        </is>
      </c>
    </row>
    <row r="83" ht="22" customHeight="1" s="89">
      <c r="A83" s="138" t="inlineStr">
        <is>
          <t>BCRX</t>
        </is>
      </c>
      <c r="B83" s="139" t="inlineStr">
        <is>
          <t>BioCryst Pharmaceuticals, Inc.</t>
        </is>
      </c>
      <c r="C83" s="140" t="inlineStr">
        <is>
          <t>Mar 2026</t>
        </is>
      </c>
      <c r="D83" s="141" t="n">
        <v>2061.6</v>
      </c>
      <c r="E83" s="142" t="n">
        <v>8.220000000000001</v>
      </c>
      <c r="F83" s="141" t="n">
        <v>250.8</v>
      </c>
      <c r="G83" s="141" t="n">
        <v>274.7</v>
      </c>
      <c r="H83" s="141" t="n"/>
      <c r="I83" s="141" t="n">
        <v>274.7</v>
      </c>
      <c r="J83" s="141" t="n"/>
      <c r="K83" s="143" t="inlineStr">
        <is>
          <t>CF+</t>
        </is>
      </c>
      <c r="L83" s="138" t="inlineStr">
        <is>
          <t>✅ CF+</t>
        </is>
      </c>
      <c r="M83" s="140" t="n"/>
      <c r="N83" s="140" t="n"/>
      <c r="O83" s="141">
        <f>IFERROR(D83-G83,"")</f>
        <v/>
      </c>
      <c r="P83" s="144" t="inlineStr">
        <is>
          <t>yFinance / SEC EDGAR, Mar 2026</t>
        </is>
      </c>
    </row>
    <row r="84" ht="22" customHeight="1" s="89">
      <c r="A84" s="118" t="inlineStr">
        <is>
          <t>NKTR</t>
        </is>
      </c>
      <c r="B84" s="134" t="inlineStr">
        <is>
          <t>Nektar Therapeutics</t>
        </is>
      </c>
      <c r="C84" s="135" t="inlineStr">
        <is>
          <t>Mar 2026</t>
        </is>
      </c>
      <c r="D84" s="119" t="n">
        <v>2049.5</v>
      </c>
      <c r="E84" s="136" t="n">
        <v>73.25</v>
      </c>
      <c r="F84" s="119" t="n">
        <v>28</v>
      </c>
      <c r="G84" s="119" t="n">
        <v>245.8</v>
      </c>
      <c r="H84" s="119" t="n"/>
      <c r="I84" s="119" t="n">
        <v>245.8</v>
      </c>
      <c r="J84" s="119" t="n">
        <v>47.2</v>
      </c>
      <c r="K84" s="117">
        <f>IFERROR(ROUND(G84/J84,1),"")</f>
        <v/>
      </c>
      <c r="L84" s="118">
        <f>IFERROR(IF(K84&lt;4,"🔴 &lt;4Q",IF(K84&lt;8,"🟡 4-8Q","🟢 &gt;8Q")),"—")</f>
        <v/>
      </c>
      <c r="M84" s="135" t="n"/>
      <c r="N84" s="135" t="n"/>
      <c r="O84" s="119">
        <f>IFERROR(D84-G84,"")</f>
        <v/>
      </c>
      <c r="P84" s="137" t="inlineStr">
        <is>
          <t>yFinance / SEC EDGAR, Mar 2026</t>
        </is>
      </c>
    </row>
    <row r="85" ht="22" customHeight="1" s="89">
      <c r="A85" s="138" t="inlineStr">
        <is>
          <t>ZLAB</t>
        </is>
      </c>
      <c r="B85" s="139" t="inlineStr">
        <is>
          <t>Zai Lab Limited</t>
        </is>
      </c>
      <c r="C85" s="140" t="inlineStr">
        <is>
          <t>Mar 2026</t>
        </is>
      </c>
      <c r="D85" s="141" t="n">
        <v>2032.5</v>
      </c>
      <c r="E85" s="142" t="n">
        <v>18.37</v>
      </c>
      <c r="F85" s="141" t="n">
        <v>110.6</v>
      </c>
      <c r="G85" s="141" t="n">
        <v>689.6</v>
      </c>
      <c r="H85" s="141" t="n"/>
      <c r="I85" s="141" t="n">
        <v>689.6</v>
      </c>
      <c r="J85" s="141" t="n">
        <v>29</v>
      </c>
      <c r="K85" s="143">
        <f>IFERROR(ROUND(G85/J85,1),"")</f>
        <v/>
      </c>
      <c r="L85" s="138">
        <f>IFERROR(IF(K85&lt;4,"🔴 &lt;4Q",IF(K85&lt;8,"🟡 4-8Q","🟢 &gt;8Q")),"—")</f>
        <v/>
      </c>
      <c r="M85" s="140" t="n"/>
      <c r="N85" s="140" t="n"/>
      <c r="O85" s="141">
        <f>IFERROR(D85-G85,"")</f>
        <v/>
      </c>
      <c r="P85" s="144" t="inlineStr">
        <is>
          <t>yFinance / SEC EDGAR, Mar 2026</t>
        </is>
      </c>
    </row>
    <row r="86" ht="22" customHeight="1" s="89">
      <c r="A86" s="118" t="inlineStr">
        <is>
          <t>ADPT</t>
        </is>
      </c>
      <c r="B86" s="134" t="inlineStr">
        <is>
          <t>Adaptive Biotechnologies Corporation</t>
        </is>
      </c>
      <c r="C86" s="135" t="inlineStr">
        <is>
          <t>Mar 2026</t>
        </is>
      </c>
      <c r="D86" s="119" t="n">
        <v>2027.9</v>
      </c>
      <c r="E86" s="136" t="n">
        <v>13.17</v>
      </c>
      <c r="F86" s="119" t="n">
        <v>154</v>
      </c>
      <c r="G86" s="119" t="n">
        <v>227</v>
      </c>
      <c r="H86" s="119" t="n"/>
      <c r="I86" s="119" t="n">
        <v>227</v>
      </c>
      <c r="J86" s="119" t="n">
        <v>2.5</v>
      </c>
      <c r="K86" s="117">
        <f>IFERROR(ROUND(G86/J86,1),"")</f>
        <v/>
      </c>
      <c r="L86" s="118">
        <f>IFERROR(IF(K86&lt;4,"🔴 &lt;4Q",IF(K86&lt;8,"🟡 4-8Q","🟢 &gt;8Q")),"—")</f>
        <v/>
      </c>
      <c r="M86" s="135" t="n"/>
      <c r="N86" s="135" t="n"/>
      <c r="O86" s="119">
        <f>IFERROR(D86-G86,"")</f>
        <v/>
      </c>
      <c r="P86" s="137" t="inlineStr">
        <is>
          <t>yFinance / SEC EDGAR, Mar 2026</t>
        </is>
      </c>
    </row>
    <row r="87" ht="22" customHeight="1" s="89">
      <c r="A87" s="138" t="inlineStr">
        <is>
          <t>PAHC</t>
        </is>
      </c>
      <c r="B87" s="139" t="inlineStr">
        <is>
          <t>Phibro Animal Health Corporation</t>
        </is>
      </c>
      <c r="C87" s="140" t="inlineStr">
        <is>
          <t>Mar 2026</t>
        </is>
      </c>
      <c r="D87" s="141" t="n">
        <v>2005.3</v>
      </c>
      <c r="E87" s="142" t="n">
        <v>49.47</v>
      </c>
      <c r="F87" s="141" t="n">
        <v>20.6</v>
      </c>
      <c r="G87" s="141" t="n">
        <v>74.8</v>
      </c>
      <c r="H87" s="141" t="n"/>
      <c r="I87" s="141" t="n">
        <v>74.8</v>
      </c>
      <c r="J87" s="141" t="n"/>
      <c r="K87" s="143" t="inlineStr">
        <is>
          <t>CF+</t>
        </is>
      </c>
      <c r="L87" s="138" t="inlineStr">
        <is>
          <t>✅ CF+</t>
        </is>
      </c>
      <c r="M87" s="140" t="n"/>
      <c r="N87" s="140" t="n"/>
      <c r="O87" s="141">
        <f>IFERROR(D87-G87,"")</f>
        <v/>
      </c>
      <c r="P87" s="144" t="inlineStr">
        <is>
          <t>yFinance / SEC EDGAR, Mar 2026</t>
        </is>
      </c>
    </row>
    <row r="88" ht="22" customHeight="1" s="89">
      <c r="A88" s="118" t="inlineStr">
        <is>
          <t>NEOG</t>
        </is>
      </c>
      <c r="B88" s="134" t="inlineStr">
        <is>
          <t>Neogen Corporation</t>
        </is>
      </c>
      <c r="C88" s="135" t="inlineStr">
        <is>
          <t>Mar 2026</t>
        </is>
      </c>
      <c r="D88" s="119" t="n">
        <v>1977.3</v>
      </c>
      <c r="E88" s="136" t="n">
        <v>9.09</v>
      </c>
      <c r="F88" s="119" t="n">
        <v>217.5</v>
      </c>
      <c r="G88" s="119" t="n">
        <v>145.3</v>
      </c>
      <c r="H88" s="119" t="n"/>
      <c r="I88" s="119" t="n">
        <v>145.3</v>
      </c>
      <c r="J88" s="119" t="n"/>
      <c r="K88" s="117" t="inlineStr">
        <is>
          <t>CF+</t>
        </is>
      </c>
      <c r="L88" s="118" t="inlineStr">
        <is>
          <t>✅ CF+</t>
        </is>
      </c>
      <c r="M88" s="135" t="n"/>
      <c r="N88" s="135" t="n"/>
      <c r="O88" s="119">
        <f>IFERROR(D88-G88,"")</f>
        <v/>
      </c>
      <c r="P88" s="137" t="inlineStr">
        <is>
          <t>yFinance / SEC EDGAR, Mar 2026</t>
        </is>
      </c>
    </row>
    <row r="89" ht="22" customHeight="1" s="89">
      <c r="A89" s="138" t="inlineStr">
        <is>
          <t>CLDX</t>
        </is>
      </c>
      <c r="B89" s="139" t="inlineStr">
        <is>
          <t>Celldex Therapeutics, Inc.</t>
        </is>
      </c>
      <c r="C89" s="140" t="inlineStr">
        <is>
          <t>Mar 2026</t>
        </is>
      </c>
      <c r="D89" s="141" t="n">
        <v>1964.4</v>
      </c>
      <c r="E89" s="142" t="n">
        <v>29.51</v>
      </c>
      <c r="F89" s="141" t="n">
        <v>66.59999999999999</v>
      </c>
      <c r="G89" s="141" t="n">
        <v>518.6</v>
      </c>
      <c r="H89" s="141" t="n"/>
      <c r="I89" s="141" t="n">
        <v>518.6</v>
      </c>
      <c r="J89" s="141" t="n">
        <v>56.3</v>
      </c>
      <c r="K89" s="143">
        <f>IFERROR(ROUND(G89/J89,1),"")</f>
        <v/>
      </c>
      <c r="L89" s="138">
        <f>IFERROR(IF(K89&lt;4,"🔴 &lt;4Q",IF(K89&lt;8,"🟡 4-8Q","🟢 &gt;8Q")),"—")</f>
        <v/>
      </c>
      <c r="M89" s="140" t="n"/>
      <c r="N89" s="140" t="n"/>
      <c r="O89" s="141">
        <f>IFERROR(D89-G89,"")</f>
        <v/>
      </c>
      <c r="P89" s="144" t="inlineStr">
        <is>
          <t>yFinance / SEC EDGAR, Mar 2026</t>
        </is>
      </c>
    </row>
    <row r="90" ht="22" customHeight="1" s="89">
      <c r="A90" s="118" t="inlineStr">
        <is>
          <t>TYRA</t>
        </is>
      </c>
      <c r="B90" s="134" t="inlineStr">
        <is>
          <t>Tyra Biosciences, Inc.</t>
        </is>
      </c>
      <c r="C90" s="135" t="inlineStr">
        <is>
          <t>Mar 2026</t>
        </is>
      </c>
      <c r="D90" s="119" t="n">
        <v>1951.1</v>
      </c>
      <c r="E90" s="136" t="n">
        <v>36.22</v>
      </c>
      <c r="F90" s="119" t="n">
        <v>53.9</v>
      </c>
      <c r="G90" s="119" t="n">
        <v>256</v>
      </c>
      <c r="H90" s="119" t="n"/>
      <c r="I90" s="119" t="n">
        <v>256</v>
      </c>
      <c r="J90" s="119" t="n">
        <v>23</v>
      </c>
      <c r="K90" s="117">
        <f>IFERROR(ROUND(G90/J90,1),"")</f>
        <v/>
      </c>
      <c r="L90" s="118">
        <f>IFERROR(IF(K90&lt;4,"🔴 &lt;4Q",IF(K90&lt;8,"🟡 4-8Q","🟢 &gt;8Q")),"—")</f>
        <v/>
      </c>
      <c r="M90" s="135" t="n"/>
      <c r="N90" s="135" t="n"/>
      <c r="O90" s="119">
        <f>IFERROR(D90-G90,"")</f>
        <v/>
      </c>
      <c r="P90" s="137" t="inlineStr">
        <is>
          <t>yFinance / SEC EDGAR, Mar 2026</t>
        </is>
      </c>
    </row>
    <row r="91" ht="22" customHeight="1" s="89">
      <c r="A91" s="138" t="inlineStr">
        <is>
          <t>STOK</t>
        </is>
      </c>
      <c r="B91" s="139" t="inlineStr">
        <is>
          <t>Stoke Therapeutics, Inc.</t>
        </is>
      </c>
      <c r="C91" s="140" t="inlineStr">
        <is>
          <t>Mar 2026</t>
        </is>
      </c>
      <c r="D91" s="141" t="n">
        <v>1895.7</v>
      </c>
      <c r="E91" s="142" t="n">
        <v>33.19</v>
      </c>
      <c r="F91" s="141" t="n">
        <v>57.1</v>
      </c>
      <c r="G91" s="141" t="n">
        <v>248.3</v>
      </c>
      <c r="H91" s="141" t="n"/>
      <c r="I91" s="141" t="n">
        <v>248.3</v>
      </c>
      <c r="J91" s="141" t="n">
        <v>27.9</v>
      </c>
      <c r="K91" s="143">
        <f>IFERROR(ROUND(G91/J91,1),"")</f>
        <v/>
      </c>
      <c r="L91" s="138">
        <f>IFERROR(IF(K91&lt;4,"🔴 &lt;4Q",IF(K91&lt;8,"🟡 4-8Q","🟢 &gt;8Q")),"—")</f>
        <v/>
      </c>
      <c r="M91" s="140" t="n"/>
      <c r="N91" s="140" t="n"/>
      <c r="O91" s="141">
        <f>IFERROR(D91-G91,"")</f>
        <v/>
      </c>
      <c r="P91" s="144" t="inlineStr">
        <is>
          <t>yFinance / SEC EDGAR, Mar 2026</t>
        </is>
      </c>
    </row>
    <row r="92" ht="22" customHeight="1" s="89">
      <c r="A92" s="118" t="inlineStr">
        <is>
          <t>ANAB</t>
        </is>
      </c>
      <c r="B92" s="134" t="inlineStr">
        <is>
          <t>AnaptysBio, Inc.</t>
        </is>
      </c>
      <c r="C92" s="135" t="inlineStr">
        <is>
          <t>Mar 2026</t>
        </is>
      </c>
      <c r="D92" s="119" t="n">
        <v>1863.2</v>
      </c>
      <c r="E92" s="136" t="n">
        <v>64.81</v>
      </c>
      <c r="F92" s="119" t="n">
        <v>28.7</v>
      </c>
      <c r="G92" s="119" t="n">
        <v>311.6</v>
      </c>
      <c r="H92" s="119" t="n"/>
      <c r="I92" s="119" t="n">
        <v>311.6</v>
      </c>
      <c r="J92" s="119" t="n"/>
      <c r="K92" s="117" t="inlineStr">
        <is>
          <t>CF+</t>
        </is>
      </c>
      <c r="L92" s="118" t="inlineStr">
        <is>
          <t>✅ CF+</t>
        </is>
      </c>
      <c r="M92" s="135" t="n"/>
      <c r="N92" s="135" t="n"/>
      <c r="O92" s="119">
        <f>IFERROR(D92-G92,"")</f>
        <v/>
      </c>
      <c r="P92" s="137" t="inlineStr">
        <is>
          <t>yFinance / SEC EDGAR, Mar 2026</t>
        </is>
      </c>
    </row>
    <row r="93" ht="22" customHeight="1" s="89">
      <c r="A93" s="138" t="inlineStr">
        <is>
          <t>RLAY</t>
        </is>
      </c>
      <c r="B93" s="139" t="inlineStr">
        <is>
          <t>Relay Therapeutics, Inc.</t>
        </is>
      </c>
      <c r="C93" s="140" t="inlineStr">
        <is>
          <t>Mar 2026</t>
        </is>
      </c>
      <c r="D93" s="141" t="n">
        <v>1851.6</v>
      </c>
      <c r="E93" s="142" t="n">
        <v>10.36</v>
      </c>
      <c r="F93" s="141" t="n">
        <v>178.7</v>
      </c>
      <c r="G93" s="141" t="n">
        <v>554.5</v>
      </c>
      <c r="H93" s="141" t="n"/>
      <c r="I93" s="141" t="n">
        <v>554.5</v>
      </c>
      <c r="J93" s="141" t="n">
        <v>53.5</v>
      </c>
      <c r="K93" s="143">
        <f>IFERROR(ROUND(G93/J93,1),"")</f>
        <v/>
      </c>
      <c r="L93" s="138">
        <f>IFERROR(IF(K93&lt;4,"🔴 &lt;4Q",IF(K93&lt;8,"🟡 4-8Q","🟢 &gt;8Q")),"—")</f>
        <v/>
      </c>
      <c r="M93" s="140" t="n"/>
      <c r="N93" s="140" t="n"/>
      <c r="O93" s="141">
        <f>IFERROR(D93-G93,"")</f>
        <v/>
      </c>
      <c r="P93" s="144" t="inlineStr">
        <is>
          <t>yFinance / SEC EDGAR, Mar 2026</t>
        </is>
      </c>
    </row>
    <row r="94" ht="22" customHeight="1" s="89">
      <c r="A94" s="118" t="inlineStr">
        <is>
          <t>RXRX</t>
        </is>
      </c>
      <c r="B94" s="134" t="inlineStr">
        <is>
          <t>Recursion Pharmaceuticals, Inc.</t>
        </is>
      </c>
      <c r="C94" s="135" t="inlineStr">
        <is>
          <t>Mar 2026</t>
        </is>
      </c>
      <c r="D94" s="119" t="n">
        <v>1806.5</v>
      </c>
      <c r="E94" s="136" t="n">
        <v>3.42</v>
      </c>
      <c r="F94" s="119" t="n">
        <v>522</v>
      </c>
      <c r="G94" s="119" t="n">
        <v>743.3</v>
      </c>
      <c r="H94" s="119" t="n"/>
      <c r="I94" s="119" t="n">
        <v>743.3</v>
      </c>
      <c r="J94" s="119" t="n">
        <v>81.7</v>
      </c>
      <c r="K94" s="117">
        <f>IFERROR(ROUND(G94/J94,1),"")</f>
        <v/>
      </c>
      <c r="L94" s="118">
        <f>IFERROR(IF(K94&lt;4,"🔴 &lt;4Q",IF(K94&lt;8,"🟡 4-8Q","🟢 &gt;8Q")),"—")</f>
        <v/>
      </c>
      <c r="M94" s="135" t="n"/>
      <c r="N94" s="135" t="n"/>
      <c r="O94" s="119">
        <f>IFERROR(D94-G94,"")</f>
        <v/>
      </c>
      <c r="P94" s="137" t="inlineStr">
        <is>
          <t>yFinance / SEC EDGAR, Mar 2026</t>
        </is>
      </c>
    </row>
    <row r="95" ht="22" customHeight="1" s="89">
      <c r="A95" s="138" t="inlineStr">
        <is>
          <t>SRPT</t>
        </is>
      </c>
      <c r="B95" s="139" t="inlineStr">
        <is>
          <t>Sarepta Therapeutics, Inc.</t>
        </is>
      </c>
      <c r="C95" s="140" t="inlineStr">
        <is>
          <t>Mar 2026</t>
        </is>
      </c>
      <c r="D95" s="141" t="n">
        <v>1721.8</v>
      </c>
      <c r="E95" s="142" t="n">
        <v>16.4</v>
      </c>
      <c r="F95" s="141" t="n">
        <v>105</v>
      </c>
      <c r="G95" s="141" t="n">
        <v>939.6</v>
      </c>
      <c r="H95" s="141" t="n"/>
      <c r="I95" s="141" t="n">
        <v>939.6</v>
      </c>
      <c r="J95" s="141" t="n">
        <v>51.4</v>
      </c>
      <c r="K95" s="143">
        <f>IFERROR(ROUND(G95/J95,1),"")</f>
        <v/>
      </c>
      <c r="L95" s="138">
        <f>IFERROR(IF(K95&lt;4,"🔴 &lt;4Q",IF(K95&lt;8,"🟡 4-8Q","🟢 &gt;8Q")),"—")</f>
        <v/>
      </c>
      <c r="M95" s="140" t="n"/>
      <c r="N95" s="140" t="n"/>
      <c r="O95" s="141">
        <f>IFERROR(D95-G95,"")</f>
        <v/>
      </c>
      <c r="P95" s="144" t="inlineStr">
        <is>
          <t>yFinance / SEC EDGAR, Mar 2026</t>
        </is>
      </c>
    </row>
    <row r="96" ht="22" customHeight="1" s="89">
      <c r="A96" s="118" t="inlineStr">
        <is>
          <t>ZYME</t>
        </is>
      </c>
      <c r="B96" s="134" t="inlineStr">
        <is>
          <t>Zymeworks Inc.</t>
        </is>
      </c>
      <c r="C96" s="135" t="inlineStr">
        <is>
          <t>Mar 2026</t>
        </is>
      </c>
      <c r="D96" s="119" t="n">
        <v>1700</v>
      </c>
      <c r="E96" s="136" t="n">
        <v>22.88</v>
      </c>
      <c r="F96" s="119" t="n">
        <v>73.7</v>
      </c>
      <c r="G96" s="119" t="n">
        <v>228.8</v>
      </c>
      <c r="H96" s="119" t="n"/>
      <c r="I96" s="119" t="n">
        <v>228.8</v>
      </c>
      <c r="J96" s="119" t="n">
        <v>20.8</v>
      </c>
      <c r="K96" s="117">
        <f>IFERROR(ROUND(G96/J96,1),"")</f>
        <v/>
      </c>
      <c r="L96" s="118">
        <f>IFERROR(IF(K96&lt;4,"🔴 &lt;4Q",IF(K96&lt;8,"🟡 4-8Q","🟢 &gt;8Q")),"—")</f>
        <v/>
      </c>
      <c r="M96" s="135" t="n"/>
      <c r="N96" s="135" t="n"/>
      <c r="O96" s="119">
        <f>IFERROR(D96-G96,"")</f>
        <v/>
      </c>
      <c r="P96" s="137" t="inlineStr">
        <is>
          <t>yFinance / SEC EDGAR, Mar 2026</t>
        </is>
      </c>
    </row>
    <row r="97" ht="22" customHeight="1" s="89">
      <c r="A97" s="138" t="inlineStr">
        <is>
          <t>RAPT</t>
        </is>
      </c>
      <c r="B97" s="139" t="inlineStr">
        <is>
          <t>RAPT Therapeutics Inc</t>
        </is>
      </c>
      <c r="C97" s="140" t="inlineStr">
        <is>
          <t>Mar 2026</t>
        </is>
      </c>
      <c r="D97" s="141" t="n">
        <v>1680.3</v>
      </c>
      <c r="E97" s="142" t="n">
        <v>58.02</v>
      </c>
      <c r="F97" s="141" t="n">
        <v>29</v>
      </c>
      <c r="G97" s="141" t="n">
        <v>157.3</v>
      </c>
      <c r="H97" s="141" t="n"/>
      <c r="I97" s="141" t="n">
        <v>157.3</v>
      </c>
      <c r="J97" s="141" t="n">
        <v>11.9</v>
      </c>
      <c r="K97" s="143">
        <f>IFERROR(ROUND(G97/J97,1),"")</f>
        <v/>
      </c>
      <c r="L97" s="138">
        <f>IFERROR(IF(K97&lt;4,"🔴 &lt;4Q",IF(K97&lt;8,"🟡 4-8Q","🟢 &gt;8Q")),"—")</f>
        <v/>
      </c>
      <c r="M97" s="140" t="n"/>
      <c r="N97" s="140" t="n"/>
      <c r="O97" s="141">
        <f>IFERROR(D97-G97,"")</f>
        <v/>
      </c>
      <c r="P97" s="144" t="inlineStr">
        <is>
          <t>yFinance / SEC EDGAR, Mar 2026</t>
        </is>
      </c>
    </row>
    <row r="98" ht="22" customHeight="1" s="89">
      <c r="A98" s="118" t="inlineStr">
        <is>
          <t>NVAX</t>
        </is>
      </c>
      <c r="B98" s="134" t="inlineStr">
        <is>
          <t>Novavax, Inc.</t>
        </is>
      </c>
      <c r="C98" s="135" t="inlineStr">
        <is>
          <t>Mar 2026</t>
        </is>
      </c>
      <c r="D98" s="119" t="n">
        <v>1667.6</v>
      </c>
      <c r="E98" s="136" t="n">
        <v>10.23</v>
      </c>
      <c r="F98" s="119" t="n">
        <v>162.9</v>
      </c>
      <c r="G98" s="119" t="n">
        <v>735.1</v>
      </c>
      <c r="H98" s="119" t="n"/>
      <c r="I98" s="119" t="n">
        <v>735.1</v>
      </c>
      <c r="J98" s="119" t="n">
        <v>61.2</v>
      </c>
      <c r="K98" s="117">
        <f>IFERROR(ROUND(G98/J98,1),"")</f>
        <v/>
      </c>
      <c r="L98" s="118">
        <f>IFERROR(IF(K98&lt;4,"🔴 &lt;4Q",IF(K98&lt;8,"🟡 4-8Q","🟢 &gt;8Q")),"—")</f>
        <v/>
      </c>
      <c r="M98" s="135" t="n"/>
      <c r="N98" s="135" t="n"/>
      <c r="O98" s="119">
        <f>IFERROR(D98-G98,"")</f>
        <v/>
      </c>
      <c r="P98" s="137" t="inlineStr">
        <is>
          <t>yFinance / SEC EDGAR, Mar 2026</t>
        </is>
      </c>
    </row>
    <row r="99" ht="22" customHeight="1" s="89">
      <c r="A99" s="138" t="inlineStr">
        <is>
          <t>VCEL</t>
        </is>
      </c>
      <c r="B99" s="139" t="inlineStr">
        <is>
          <t>Vericel Corporation</t>
        </is>
      </c>
      <c r="C99" s="140" t="inlineStr">
        <is>
          <t>Mar 2026</t>
        </is>
      </c>
      <c r="D99" s="141" t="n">
        <v>1651.6</v>
      </c>
      <c r="E99" s="142" t="n">
        <v>32.53</v>
      </c>
      <c r="F99" s="141" t="n">
        <v>50.8</v>
      </c>
      <c r="G99" s="141" t="n">
        <v>137.5</v>
      </c>
      <c r="H99" s="141" t="n"/>
      <c r="I99" s="141" t="n">
        <v>137.5</v>
      </c>
      <c r="J99" s="141" t="n"/>
      <c r="K99" s="143" t="inlineStr">
        <is>
          <t>CF+</t>
        </is>
      </c>
      <c r="L99" s="138" t="inlineStr">
        <is>
          <t>✅ CF+</t>
        </is>
      </c>
      <c r="M99" s="140" t="n"/>
      <c r="N99" s="140" t="n"/>
      <c r="O99" s="141">
        <f>IFERROR(D99-G99,"")</f>
        <v/>
      </c>
      <c r="P99" s="144" t="inlineStr">
        <is>
          <t>yFinance / SEC EDGAR, Mar 2026</t>
        </is>
      </c>
    </row>
    <row r="100" ht="22" customHeight="1" s="89">
      <c r="A100" s="118" t="inlineStr">
        <is>
          <t>INVA</t>
        </is>
      </c>
      <c r="B100" s="134" t="inlineStr">
        <is>
          <t>Innoviva, Inc.</t>
        </is>
      </c>
      <c r="C100" s="135" t="inlineStr">
        <is>
          <t>Mar 2026</t>
        </is>
      </c>
      <c r="D100" s="119" t="n">
        <v>1647.2</v>
      </c>
      <c r="E100" s="136" t="n">
        <v>22.03</v>
      </c>
      <c r="F100" s="119" t="n">
        <v>74.09999999999999</v>
      </c>
      <c r="G100" s="119" t="n">
        <v>566.7</v>
      </c>
      <c r="H100" s="119" t="n"/>
      <c r="I100" s="119" t="n">
        <v>566.7</v>
      </c>
      <c r="J100" s="119" t="n"/>
      <c r="K100" s="117" t="inlineStr">
        <is>
          <t>CF+</t>
        </is>
      </c>
      <c r="L100" s="118" t="inlineStr">
        <is>
          <t>✅ CF+</t>
        </is>
      </c>
      <c r="M100" s="135" t="n"/>
      <c r="N100" s="135" t="n"/>
      <c r="O100" s="119">
        <f>IFERROR(D100-G100,"")</f>
        <v/>
      </c>
      <c r="P100" s="137" t="inlineStr">
        <is>
          <t>yFinance / SEC EDGAR, Mar 2026</t>
        </is>
      </c>
    </row>
    <row r="101" ht="22" customHeight="1" s="89">
      <c r="A101" s="138" t="inlineStr">
        <is>
          <t>AGIO</t>
        </is>
      </c>
      <c r="B101" s="139" t="inlineStr">
        <is>
          <t>Agios Pharmaceuticals, Inc.</t>
        </is>
      </c>
      <c r="C101" s="140" t="inlineStr">
        <is>
          <t>Mar 2026</t>
        </is>
      </c>
      <c r="D101" s="141" t="n">
        <v>1631.8</v>
      </c>
      <c r="E101" s="142" t="n">
        <v>27.85</v>
      </c>
      <c r="F101" s="141" t="n">
        <v>58.6</v>
      </c>
      <c r="G101" s="141" t="n">
        <v>854.4</v>
      </c>
      <c r="H101" s="141" t="n"/>
      <c r="I101" s="141" t="n">
        <v>854.4</v>
      </c>
      <c r="J101" s="141" t="n">
        <v>92.2</v>
      </c>
      <c r="K101" s="143">
        <f>IFERROR(ROUND(G101/J101,1),"")</f>
        <v/>
      </c>
      <c r="L101" s="138">
        <f>IFERROR(IF(K101&lt;4,"🔴 &lt;4Q",IF(K101&lt;8,"🟡 4-8Q","🟢 &gt;8Q")),"—")</f>
        <v/>
      </c>
      <c r="M101" s="140" t="n"/>
      <c r="N101" s="140" t="n"/>
      <c r="O101" s="141">
        <f>IFERROR(D101-G101,"")</f>
        <v/>
      </c>
      <c r="P101" s="144" t="inlineStr">
        <is>
          <t>yFinance / SEC EDGAR, Mar 2026</t>
        </is>
      </c>
    </row>
    <row r="102" ht="22" customHeight="1" s="89">
      <c r="A102" s="118" t="inlineStr">
        <is>
          <t>IOVA</t>
        </is>
      </c>
      <c r="B102" s="134" t="inlineStr">
        <is>
          <t>Iovance Biotherapeutics, Inc.</t>
        </is>
      </c>
      <c r="C102" s="135" t="inlineStr">
        <is>
          <t>Mar 2026</t>
        </is>
      </c>
      <c r="D102" s="119" t="n">
        <v>1631.4</v>
      </c>
      <c r="E102" s="136" t="n">
        <v>3.96</v>
      </c>
      <c r="F102" s="119" t="n">
        <v>412</v>
      </c>
      <c r="G102" s="119" t="n">
        <v>297</v>
      </c>
      <c r="H102" s="119" t="n"/>
      <c r="I102" s="119" t="n">
        <v>297</v>
      </c>
      <c r="J102" s="119" t="n">
        <v>65.59999999999999</v>
      </c>
      <c r="K102" s="117">
        <f>IFERROR(ROUND(G102/J102,1),"")</f>
        <v/>
      </c>
      <c r="L102" s="118">
        <f>IFERROR(IF(K102&lt;4,"🔴 &lt;4Q",IF(K102&lt;8,"🟡 4-8Q","🟢 &gt;8Q")),"—")</f>
        <v/>
      </c>
      <c r="M102" s="135" t="n"/>
      <c r="N102" s="135" t="n"/>
      <c r="O102" s="119">
        <f>IFERROR(D102-G102,"")</f>
        <v/>
      </c>
      <c r="P102" s="137" t="inlineStr">
        <is>
          <t>yFinance / SEC EDGAR, Mar 2026</t>
        </is>
      </c>
    </row>
    <row r="103" ht="22" customHeight="1" s="89">
      <c r="A103" s="138" t="inlineStr">
        <is>
          <t>NBTX</t>
        </is>
      </c>
      <c r="B103" s="139" t="inlineStr">
        <is>
          <t>Nanobiotix S.A.</t>
        </is>
      </c>
      <c r="C103" s="140" t="inlineStr">
        <is>
          <t>Mar 2026</t>
        </is>
      </c>
      <c r="D103" s="141" t="n">
        <v>1600.2</v>
      </c>
      <c r="E103" s="142" t="n">
        <v>33.07</v>
      </c>
      <c r="F103" s="141" t="n">
        <v>48.4</v>
      </c>
      <c r="G103" s="141" t="n">
        <v>28.8</v>
      </c>
      <c r="H103" s="141" t="n"/>
      <c r="I103" s="141" t="n">
        <v>28.8</v>
      </c>
      <c r="J103" s="141" t="n">
        <v>7.8</v>
      </c>
      <c r="K103" s="143">
        <f>IFERROR(ROUND(G103/J103,1),"")</f>
        <v/>
      </c>
      <c r="L103" s="138">
        <f>IFERROR(IF(K103&lt;4,"🔴 &lt;4Q",IF(K103&lt;8,"🟡 4-8Q","🟢 &gt;8Q")),"—")</f>
        <v/>
      </c>
      <c r="M103" s="140" t="n"/>
      <c r="N103" s="140" t="n"/>
      <c r="O103" s="141">
        <f>IFERROR(D103-G103,"")</f>
        <v/>
      </c>
      <c r="P103" s="144" t="inlineStr">
        <is>
          <t>yFinance / SEC EDGAR, Mar 2026</t>
        </is>
      </c>
    </row>
    <row r="104" ht="22" customHeight="1" s="89">
      <c r="A104" s="118" t="inlineStr">
        <is>
          <t>HRMY</t>
        </is>
      </c>
      <c r="B104" s="134" t="inlineStr">
        <is>
          <t>Harmony Biosciences Holdings, Inc.</t>
        </is>
      </c>
      <c r="C104" s="135" t="inlineStr">
        <is>
          <t>Mar 2026</t>
        </is>
      </c>
      <c r="D104" s="119" t="n">
        <v>1597</v>
      </c>
      <c r="E104" s="136" t="n">
        <v>27.61</v>
      </c>
      <c r="F104" s="119" t="n">
        <v>57.8</v>
      </c>
      <c r="G104" s="119" t="n">
        <v>775.3</v>
      </c>
      <c r="H104" s="119" t="n"/>
      <c r="I104" s="119" t="n">
        <v>775.3</v>
      </c>
      <c r="J104" s="119" t="n"/>
      <c r="K104" s="117" t="inlineStr">
        <is>
          <t>CF+</t>
        </is>
      </c>
      <c r="L104" s="118" t="inlineStr">
        <is>
          <t>✅ CF+</t>
        </is>
      </c>
      <c r="M104" s="135" t="n"/>
      <c r="N104" s="135" t="n"/>
      <c r="O104" s="119">
        <f>IFERROR(D104-G104,"")</f>
        <v/>
      </c>
      <c r="P104" s="137" t="inlineStr">
        <is>
          <t>yFinance / SEC EDGAR, Mar 2026</t>
        </is>
      </c>
    </row>
    <row r="105" ht="22" customHeight="1" s="89">
      <c r="A105" s="138" t="inlineStr">
        <is>
          <t>ANIP</t>
        </is>
      </c>
      <c r="B105" s="139" t="inlineStr">
        <is>
          <t>ANI Pharmaceuticals, Inc.</t>
        </is>
      </c>
      <c r="C105" s="140" t="inlineStr">
        <is>
          <t>Mar 2026</t>
        </is>
      </c>
      <c r="D105" s="141" t="n">
        <v>1583.1</v>
      </c>
      <c r="E105" s="142" t="n">
        <v>70.48999999999999</v>
      </c>
      <c r="F105" s="141" t="n">
        <v>22.4</v>
      </c>
      <c r="G105" s="141" t="n">
        <v>294.7</v>
      </c>
      <c r="H105" s="141" t="n"/>
      <c r="I105" s="141" t="n">
        <v>294.7</v>
      </c>
      <c r="J105" s="141" t="n"/>
      <c r="K105" s="143" t="inlineStr">
        <is>
          <t>CF+</t>
        </is>
      </c>
      <c r="L105" s="138" t="inlineStr">
        <is>
          <t>✅ CF+</t>
        </is>
      </c>
      <c r="M105" s="140" t="n"/>
      <c r="N105" s="140" t="n"/>
      <c r="O105" s="141">
        <f>IFERROR(D105-G105,"")</f>
        <v/>
      </c>
      <c r="P105" s="144" t="inlineStr">
        <is>
          <t>yFinance / SEC EDGAR, Mar 2026</t>
        </is>
      </c>
    </row>
    <row r="106" ht="22" customHeight="1" s="89">
      <c r="A106" s="118" t="inlineStr">
        <is>
          <t>IMCR</t>
        </is>
      </c>
      <c r="B106" s="134" t="inlineStr">
        <is>
          <t>Immunocore Holdings plc</t>
        </is>
      </c>
      <c r="C106" s="135" t="inlineStr">
        <is>
          <t>Mar 2026</t>
        </is>
      </c>
      <c r="D106" s="119" t="n">
        <v>1564.5</v>
      </c>
      <c r="E106" s="136" t="n">
        <v>30.86</v>
      </c>
      <c r="F106" s="119" t="n">
        <v>50.7</v>
      </c>
      <c r="G106" s="119" t="n">
        <v>864.2</v>
      </c>
      <c r="H106" s="119" t="n"/>
      <c r="I106" s="119" t="n">
        <v>864.2</v>
      </c>
      <c r="J106" s="119" t="n">
        <v>18.6</v>
      </c>
      <c r="K106" s="117">
        <f>IFERROR(ROUND(G106/J106,1),"")</f>
        <v/>
      </c>
      <c r="L106" s="118">
        <f>IFERROR(IF(K106&lt;4,"🔴 &lt;4Q",IF(K106&lt;8,"🟡 4-8Q","🟢 &gt;8Q")),"—")</f>
        <v/>
      </c>
      <c r="M106" s="135" t="n"/>
      <c r="N106" s="135" t="n"/>
      <c r="O106" s="119">
        <f>IFERROR(D106-G106,"")</f>
        <v/>
      </c>
      <c r="P106" s="137" t="inlineStr">
        <is>
          <t>yFinance / SEC EDGAR, Mar 2026</t>
        </is>
      </c>
    </row>
    <row r="107" ht="22" customHeight="1" s="89">
      <c r="A107" s="138" t="inlineStr">
        <is>
          <t>NRIX</t>
        </is>
      </c>
      <c r="B107" s="139" t="inlineStr">
        <is>
          <t>Nurix Therapeutics, Inc.</t>
        </is>
      </c>
      <c r="C107" s="140" t="inlineStr">
        <is>
          <t>Mar 2026</t>
        </is>
      </c>
      <c r="D107" s="141" t="n">
        <v>1546.8</v>
      </c>
      <c r="E107" s="142" t="n">
        <v>15.04</v>
      </c>
      <c r="F107" s="141" t="n">
        <v>102.8</v>
      </c>
      <c r="G107" s="141" t="n">
        <v>592.9</v>
      </c>
      <c r="H107" s="141" t="n"/>
      <c r="I107" s="141" t="n">
        <v>592.9</v>
      </c>
      <c r="J107" s="141" t="n">
        <v>62.6</v>
      </c>
      <c r="K107" s="143">
        <f>IFERROR(ROUND(G107/J107,1),"")</f>
        <v/>
      </c>
      <c r="L107" s="138">
        <f>IFERROR(IF(K107&lt;4,"🔴 &lt;4Q",IF(K107&lt;8,"🟡 4-8Q","🟢 &gt;8Q")),"—")</f>
        <v/>
      </c>
      <c r="M107" s="140" t="n"/>
      <c r="N107" s="140" t="n"/>
      <c r="O107" s="141">
        <f>IFERROR(D107-G107,"")</f>
        <v/>
      </c>
      <c r="P107" s="144" t="inlineStr">
        <is>
          <t>yFinance / SEC EDGAR, Mar 2026</t>
        </is>
      </c>
    </row>
    <row r="108" ht="22" customHeight="1" s="89">
      <c r="A108" s="118" t="inlineStr">
        <is>
          <t>NTLA</t>
        </is>
      </c>
      <c r="B108" s="134" t="inlineStr">
        <is>
          <t>Intellia Therapeutics, Inc.</t>
        </is>
      </c>
      <c r="C108" s="135" t="inlineStr">
        <is>
          <t>Mar 2026</t>
        </is>
      </c>
      <c r="D108" s="119" t="n">
        <v>1507.4</v>
      </c>
      <c r="E108" s="136" t="n">
        <v>12.76</v>
      </c>
      <c r="F108" s="119" t="n">
        <v>118.1</v>
      </c>
      <c r="G108" s="119" t="n">
        <v>449.9</v>
      </c>
      <c r="H108" s="119" t="n"/>
      <c r="I108" s="119" t="n">
        <v>449.9</v>
      </c>
      <c r="J108" s="119" t="n">
        <v>73.09999999999999</v>
      </c>
      <c r="K108" s="117">
        <f>IFERROR(ROUND(G108/J108,1),"")</f>
        <v/>
      </c>
      <c r="L108" s="118">
        <f>IFERROR(IF(K108&lt;4,"🔴 &lt;4Q",IF(K108&lt;8,"🟡 4-8Q","🟢 &gt;8Q")),"—")</f>
        <v/>
      </c>
      <c r="M108" s="135" t="n"/>
      <c r="N108" s="135" t="n"/>
      <c r="O108" s="119">
        <f>IFERROR(D108-G108,"")</f>
        <v/>
      </c>
      <c r="P108" s="137" t="inlineStr">
        <is>
          <t>yFinance / SEC EDGAR, Mar 2026</t>
        </is>
      </c>
    </row>
    <row r="109" ht="22" customHeight="1" s="89">
      <c r="A109" s="138" t="inlineStr">
        <is>
          <t>ATRC</t>
        </is>
      </c>
      <c r="B109" s="139" t="inlineStr">
        <is>
          <t>AtriCure, Inc.</t>
        </is>
      </c>
      <c r="C109" s="140" t="inlineStr">
        <is>
          <t>Mar 2026</t>
        </is>
      </c>
      <c r="D109" s="141" t="n">
        <v>1486.6</v>
      </c>
      <c r="E109" s="142" t="n">
        <v>29.84</v>
      </c>
      <c r="F109" s="141" t="n">
        <v>49.8</v>
      </c>
      <c r="G109" s="141" t="n">
        <v>167.4</v>
      </c>
      <c r="H109" s="141" t="n"/>
      <c r="I109" s="141" t="n">
        <v>167.4</v>
      </c>
      <c r="J109" s="141" t="n"/>
      <c r="K109" s="143" t="inlineStr">
        <is>
          <t>CF+</t>
        </is>
      </c>
      <c r="L109" s="138" t="inlineStr">
        <is>
          <t>✅ CF+</t>
        </is>
      </c>
      <c r="M109" s="140" t="n"/>
      <c r="N109" s="140" t="n"/>
      <c r="O109" s="141">
        <f>IFERROR(D109-G109,"")</f>
        <v/>
      </c>
      <c r="P109" s="144" t="inlineStr">
        <is>
          <t>yFinance / SEC EDGAR, Mar 2026</t>
        </is>
      </c>
    </row>
    <row r="110" ht="22" customHeight="1" s="89">
      <c r="A110" s="118" t="inlineStr">
        <is>
          <t>VIR</t>
        </is>
      </c>
      <c r="B110" s="134" t="inlineStr">
        <is>
          <t>Vir Biotechnology, Inc.</t>
        </is>
      </c>
      <c r="C110" s="135" t="inlineStr">
        <is>
          <t>Mar 2026</t>
        </is>
      </c>
      <c r="D110" s="119" t="n">
        <v>1479.9</v>
      </c>
      <c r="E110" s="136" t="n">
        <v>9.26</v>
      </c>
      <c r="F110" s="119" t="n">
        <v>159.8</v>
      </c>
      <c r="G110" s="119" t="n">
        <v>467</v>
      </c>
      <c r="H110" s="119" t="n"/>
      <c r="I110" s="119" t="n">
        <v>467</v>
      </c>
      <c r="J110" s="119" t="n">
        <v>96.7</v>
      </c>
      <c r="K110" s="117">
        <f>IFERROR(ROUND(G110/J110,1),"")</f>
        <v/>
      </c>
      <c r="L110" s="118">
        <f>IFERROR(IF(K110&lt;4,"🔴 &lt;4Q",IF(K110&lt;8,"🟡 4-8Q","🟢 &gt;8Q")),"—")</f>
        <v/>
      </c>
      <c r="M110" s="135" t="n"/>
      <c r="N110" s="135" t="n"/>
      <c r="O110" s="119">
        <f>IFERROR(D110-G110,"")</f>
        <v/>
      </c>
      <c r="P110" s="137" t="inlineStr">
        <is>
          <t>yFinance / SEC EDGAR, Mar 2026</t>
        </is>
      </c>
    </row>
    <row r="111" ht="22" customHeight="1" s="89">
      <c r="A111" s="138" t="inlineStr">
        <is>
          <t>BHVN</t>
        </is>
      </c>
      <c r="B111" s="139" t="inlineStr">
        <is>
          <t>Biohaven Ltd.</t>
        </is>
      </c>
      <c r="C111" s="140" t="inlineStr">
        <is>
          <t>Mar 2026</t>
        </is>
      </c>
      <c r="D111" s="141" t="n">
        <v>1441</v>
      </c>
      <c r="E111" s="142" t="n">
        <v>9.58</v>
      </c>
      <c r="F111" s="141" t="n">
        <v>150.4</v>
      </c>
      <c r="G111" s="141" t="n">
        <v>319.1</v>
      </c>
      <c r="H111" s="141" t="n"/>
      <c r="I111" s="141" t="n">
        <v>319.1</v>
      </c>
      <c r="J111" s="141" t="n">
        <v>138.2</v>
      </c>
      <c r="K111" s="143">
        <f>IFERROR(ROUND(G111/J111,1),"")</f>
        <v/>
      </c>
      <c r="L111" s="138">
        <f>IFERROR(IF(K111&lt;4,"🔴 &lt;4Q",IF(K111&lt;8,"🟡 4-8Q","🟢 &gt;8Q")),"—")</f>
        <v/>
      </c>
      <c r="M111" s="140" t="n"/>
      <c r="N111" s="140" t="n"/>
      <c r="O111" s="141">
        <f>IFERROR(D111-G111,"")</f>
        <v/>
      </c>
      <c r="P111" s="144" t="inlineStr">
        <is>
          <t>yFinance / SEC EDGAR, Mar 2026</t>
        </is>
      </c>
    </row>
    <row r="112" ht="22" customHeight="1" s="89">
      <c r="A112" s="118" t="inlineStr">
        <is>
          <t>ARDX</t>
        </is>
      </c>
      <c r="B112" s="134" t="inlineStr">
        <is>
          <t>Ardelyx, Inc.</t>
        </is>
      </c>
      <c r="C112" s="135" t="inlineStr">
        <is>
          <t>Mar 2026</t>
        </is>
      </c>
      <c r="D112" s="119" t="n">
        <v>1417.5</v>
      </c>
      <c r="E112" s="136" t="n">
        <v>5.78</v>
      </c>
      <c r="F112" s="119" t="n">
        <v>245.2</v>
      </c>
      <c r="G112" s="119" t="n">
        <v>264.7</v>
      </c>
      <c r="H112" s="119" t="n"/>
      <c r="I112" s="119" t="n">
        <v>264.7</v>
      </c>
      <c r="J112" s="119" t="n">
        <v>10.6</v>
      </c>
      <c r="K112" s="117">
        <f>IFERROR(ROUND(G112/J112,1),"")</f>
        <v/>
      </c>
      <c r="L112" s="118">
        <f>IFERROR(IF(K112&lt;4,"🔴 &lt;4Q",IF(K112&lt;8,"🟡 4-8Q","🟢 &gt;8Q")),"—")</f>
        <v/>
      </c>
      <c r="M112" s="135" t="n"/>
      <c r="N112" s="135" t="n"/>
      <c r="O112" s="119">
        <f>IFERROR(D112-G112,"")</f>
        <v/>
      </c>
      <c r="P112" s="137" t="inlineStr">
        <is>
          <t>yFinance / SEC EDGAR, Mar 2026</t>
        </is>
      </c>
    </row>
    <row r="113" ht="22" customHeight="1" s="89">
      <c r="A113" s="138" t="inlineStr">
        <is>
          <t>TRVI</t>
        </is>
      </c>
      <c r="B113" s="139" t="inlineStr">
        <is>
          <t>Trevi Therapeutics, Inc.</t>
        </is>
      </c>
      <c r="C113" s="140" t="inlineStr">
        <is>
          <t>Mar 2026</t>
        </is>
      </c>
      <c r="D113" s="141" t="n">
        <v>1411.8</v>
      </c>
      <c r="E113" s="142" t="n">
        <v>11.01</v>
      </c>
      <c r="F113" s="141" t="n">
        <v>128.2</v>
      </c>
      <c r="G113" s="141" t="n">
        <v>194.9</v>
      </c>
      <c r="H113" s="141" t="n"/>
      <c r="I113" s="141" t="n">
        <v>194.9</v>
      </c>
      <c r="J113" s="141" t="n">
        <v>10.5</v>
      </c>
      <c r="K113" s="143">
        <f>IFERROR(ROUND(G113/J113,1),"")</f>
        <v/>
      </c>
      <c r="L113" s="138">
        <f>IFERROR(IF(K113&lt;4,"🔴 &lt;4Q",IF(K113&lt;8,"🟡 4-8Q","🟢 &gt;8Q")),"—")</f>
        <v/>
      </c>
      <c r="M113" s="140" t="n"/>
      <c r="N113" s="140" t="n"/>
      <c r="O113" s="141">
        <f>IFERROR(D113-G113,"")</f>
        <v/>
      </c>
      <c r="P113" s="144" t="inlineStr">
        <is>
          <t>yFinance / SEC EDGAR, Mar 2026</t>
        </is>
      </c>
    </row>
    <row r="114" ht="22" customHeight="1" s="89">
      <c r="A114" s="118" t="inlineStr">
        <is>
          <t>ENOV</t>
        </is>
      </c>
      <c r="B114" s="134" t="inlineStr">
        <is>
          <t>Enovis Corporation</t>
        </is>
      </c>
      <c r="C114" s="135" t="inlineStr">
        <is>
          <t>Mar 2026</t>
        </is>
      </c>
      <c r="D114" s="119" t="n">
        <v>1316.1</v>
      </c>
      <c r="E114" s="136" t="n">
        <v>22.99</v>
      </c>
      <c r="F114" s="119" t="n">
        <v>57.2</v>
      </c>
      <c r="G114" s="119" t="n">
        <v>36.4</v>
      </c>
      <c r="H114" s="119" t="n"/>
      <c r="I114" s="119" t="n">
        <v>36.4</v>
      </c>
      <c r="J114" s="119" t="n"/>
      <c r="K114" s="117" t="inlineStr">
        <is>
          <t>CF+</t>
        </is>
      </c>
      <c r="L114" s="118" t="inlineStr">
        <is>
          <t>✅ CF+</t>
        </is>
      </c>
      <c r="M114" s="135" t="n"/>
      <c r="N114" s="135" t="n"/>
      <c r="O114" s="119">
        <f>IFERROR(D114-G114,"")</f>
        <v/>
      </c>
      <c r="P114" s="137" t="inlineStr">
        <is>
          <t>yFinance / SEC EDGAR, Mar 2026</t>
        </is>
      </c>
    </row>
    <row r="115" ht="22" customHeight="1" s="89">
      <c r="A115" s="138" t="inlineStr">
        <is>
          <t>CRVS</t>
        </is>
      </c>
      <c r="B115" s="139" t="inlineStr">
        <is>
          <t>Corvus Pharmaceuticals, Inc.</t>
        </is>
      </c>
      <c r="C115" s="140" t="inlineStr">
        <is>
          <t>Mar 2026</t>
        </is>
      </c>
      <c r="D115" s="141" t="n">
        <v>1283.3</v>
      </c>
      <c r="E115" s="142" t="n">
        <v>15.32</v>
      </c>
      <c r="F115" s="141" t="n">
        <v>83.8</v>
      </c>
      <c r="G115" s="141" t="n">
        <v>56.8</v>
      </c>
      <c r="H115" s="141" t="n"/>
      <c r="I115" s="141" t="n">
        <v>56.8</v>
      </c>
      <c r="J115" s="141" t="n">
        <v>7.7</v>
      </c>
      <c r="K115" s="143">
        <f>IFERROR(ROUND(G115/J115,1),"")</f>
        <v/>
      </c>
      <c r="L115" s="138">
        <f>IFERROR(IF(K115&lt;4,"🔴 &lt;4Q",IF(K115&lt;8,"🟡 4-8Q","🟢 &gt;8Q")),"—")</f>
        <v/>
      </c>
      <c r="M115" s="140" t="n"/>
      <c r="N115" s="140" t="n"/>
      <c r="O115" s="141">
        <f>IFERROR(D115-G115,"")</f>
        <v/>
      </c>
      <c r="P115" s="144" t="inlineStr">
        <is>
          <t>yFinance / SEC EDGAR, Mar 2026</t>
        </is>
      </c>
    </row>
    <row r="116" ht="22" customHeight="1" s="89">
      <c r="A116" s="118" t="inlineStr">
        <is>
          <t>PDFS</t>
        </is>
      </c>
      <c r="B116" s="134" t="inlineStr">
        <is>
          <t>PDF Solutions, Inc.</t>
        </is>
      </c>
      <c r="C116" s="135" t="inlineStr">
        <is>
          <t>Mar 2026</t>
        </is>
      </c>
      <c r="D116" s="119" t="n">
        <v>1267.3</v>
      </c>
      <c r="E116" s="136" t="n">
        <v>31.77</v>
      </c>
      <c r="F116" s="119" t="n">
        <v>39.9</v>
      </c>
      <c r="G116" s="119" t="n">
        <v>42.2</v>
      </c>
      <c r="H116" s="119" t="n"/>
      <c r="I116" s="119" t="n">
        <v>42.2</v>
      </c>
      <c r="J116" s="119" t="n"/>
      <c r="K116" s="117" t="inlineStr">
        <is>
          <t>CF+</t>
        </is>
      </c>
      <c r="L116" s="118" t="inlineStr">
        <is>
          <t>✅ CF+</t>
        </is>
      </c>
      <c r="M116" s="135" t="n"/>
      <c r="N116" s="135" t="n"/>
      <c r="O116" s="119">
        <f>IFERROR(D116-G116,"")</f>
        <v/>
      </c>
      <c r="P116" s="137" t="inlineStr">
        <is>
          <t>yFinance / SEC EDGAR, Mar 2026</t>
        </is>
      </c>
    </row>
    <row r="117" ht="22" customHeight="1" s="89">
      <c r="A117" s="138" t="inlineStr">
        <is>
          <t>IMTX</t>
        </is>
      </c>
      <c r="B117" s="139" t="inlineStr">
        <is>
          <t>Immatics N.V.</t>
        </is>
      </c>
      <c r="C117" s="140" t="inlineStr">
        <is>
          <t>Mar 2026</t>
        </is>
      </c>
      <c r="D117" s="141" t="n">
        <v>1238.7</v>
      </c>
      <c r="E117" s="142" t="n">
        <v>9.24</v>
      </c>
      <c r="F117" s="141" t="n">
        <v>134.1</v>
      </c>
      <c r="G117" s="141" t="n">
        <v>469.3</v>
      </c>
      <c r="H117" s="141" t="n"/>
      <c r="I117" s="141" t="n">
        <v>469.3</v>
      </c>
      <c r="J117" s="141" t="n">
        <v>41.9</v>
      </c>
      <c r="K117" s="143">
        <f>IFERROR(ROUND(G117/J117,1),"")</f>
        <v/>
      </c>
      <c r="L117" s="138">
        <f>IFERROR(IF(K117&lt;4,"🔴 &lt;4Q",IF(K117&lt;8,"🟡 4-8Q","🟢 &gt;8Q")),"—")</f>
        <v/>
      </c>
      <c r="M117" s="140" t="n"/>
      <c r="N117" s="140" t="n"/>
      <c r="O117" s="141">
        <f>IFERROR(D117-G117,"")</f>
        <v/>
      </c>
      <c r="P117" s="144" t="inlineStr">
        <is>
          <t>yFinance / SEC EDGAR, Mar 2026</t>
        </is>
      </c>
    </row>
    <row r="118" ht="22" customHeight="1" s="89">
      <c r="A118" s="118" t="inlineStr">
        <is>
          <t>TSHA</t>
        </is>
      </c>
      <c r="B118" s="134" t="inlineStr">
        <is>
          <t>Taysha Gene Therapies, Inc.</t>
        </is>
      </c>
      <c r="C118" s="135" t="inlineStr">
        <is>
          <t>Mar 2026</t>
        </is>
      </c>
      <c r="D118" s="119" t="n">
        <v>1229.9</v>
      </c>
      <c r="E118" s="136" t="n">
        <v>4.49</v>
      </c>
      <c r="F118" s="119" t="n">
        <v>273.9</v>
      </c>
      <c r="G118" s="119" t="n">
        <v>297.3</v>
      </c>
      <c r="H118" s="119" t="n"/>
      <c r="I118" s="119" t="n">
        <v>297.3</v>
      </c>
      <c r="J118" s="119" t="n">
        <v>22.2</v>
      </c>
      <c r="K118" s="117">
        <f>IFERROR(ROUND(G118/J118,1),"")</f>
        <v/>
      </c>
      <c r="L118" s="118">
        <f>IFERROR(IF(K118&lt;4,"🔴 &lt;4Q",IF(K118&lt;8,"🟡 4-8Q","🟢 &gt;8Q")),"—")</f>
        <v/>
      </c>
      <c r="M118" s="135" t="n"/>
      <c r="N118" s="135" t="n"/>
      <c r="O118" s="119">
        <f>IFERROR(D118-G118,"")</f>
        <v/>
      </c>
      <c r="P118" s="137" t="inlineStr">
        <is>
          <t>yFinance / SEC EDGAR, Mar 2026</t>
        </is>
      </c>
    </row>
    <row r="119" ht="22" customHeight="1" s="89">
      <c r="A119" s="138" t="inlineStr">
        <is>
          <t>GLUE</t>
        </is>
      </c>
      <c r="B119" s="139" t="inlineStr">
        <is>
          <t>Monte Rosa Therapeutics, Inc.</t>
        </is>
      </c>
      <c r="C119" s="140" t="inlineStr">
        <is>
          <t>Mar 2026</t>
        </is>
      </c>
      <c r="D119" s="141" t="n">
        <v>1221.4</v>
      </c>
      <c r="E119" s="142" t="n">
        <v>16.02</v>
      </c>
      <c r="F119" s="141" t="n">
        <v>76.2</v>
      </c>
      <c r="G119" s="141" t="n">
        <v>391.3</v>
      </c>
      <c r="H119" s="141" t="n"/>
      <c r="I119" s="141" t="n">
        <v>391.3</v>
      </c>
      <c r="J119" s="141" t="n"/>
      <c r="K119" s="143" t="inlineStr">
        <is>
          <t>CF+</t>
        </is>
      </c>
      <c r="L119" s="138" t="inlineStr">
        <is>
          <t>✅ CF+</t>
        </is>
      </c>
      <c r="M119" s="140" t="n"/>
      <c r="N119" s="140" t="n"/>
      <c r="O119" s="141">
        <f>IFERROR(D119-G119,"")</f>
        <v/>
      </c>
      <c r="P119" s="144" t="inlineStr">
        <is>
          <t>yFinance / SEC EDGAR, Mar 2026</t>
        </is>
      </c>
    </row>
    <row r="120" ht="22" customHeight="1" s="89">
      <c r="A120" s="118" t="inlineStr">
        <is>
          <t>TRIN</t>
        </is>
      </c>
      <c r="B120" s="134" t="inlineStr">
        <is>
          <t>Trinity Capital Inc.</t>
        </is>
      </c>
      <c r="C120" s="135" t="inlineStr">
        <is>
          <t>Mar 2026</t>
        </is>
      </c>
      <c r="D120" s="119" t="n">
        <v>1199.4</v>
      </c>
      <c r="E120" s="136" t="n">
        <v>14.42</v>
      </c>
      <c r="F120" s="119" t="n">
        <v>83.2</v>
      </c>
      <c r="G120" s="119" t="n">
        <v>19.1</v>
      </c>
      <c r="H120" s="119" t="n"/>
      <c r="I120" s="119" t="n">
        <v>19.1</v>
      </c>
      <c r="J120" s="119" t="n">
        <v>174.3</v>
      </c>
      <c r="K120" s="117">
        <f>IFERROR(ROUND(G120/J120,1),"")</f>
        <v/>
      </c>
      <c r="L120" s="118">
        <f>IFERROR(IF(K120&lt;4,"🔴 &lt;4Q",IF(K120&lt;8,"🟡 4-8Q","🟢 &gt;8Q")),"—")</f>
        <v/>
      </c>
      <c r="M120" s="135" t="n"/>
      <c r="N120" s="135" t="n"/>
      <c r="O120" s="119">
        <f>IFERROR(D120-G120,"")</f>
        <v/>
      </c>
      <c r="P120" s="137" t="inlineStr">
        <is>
          <t>yFinance / SEC EDGAR, Mar 2026</t>
        </is>
      </c>
    </row>
    <row r="121" ht="22" customHeight="1" s="89">
      <c r="A121" s="138" t="inlineStr">
        <is>
          <t>SVRA</t>
        </is>
      </c>
      <c r="B121" s="139" t="inlineStr">
        <is>
          <t>Savara Inc.</t>
        </is>
      </c>
      <c r="C121" s="140" t="inlineStr">
        <is>
          <t>Mar 2026</t>
        </is>
      </c>
      <c r="D121" s="141" t="n">
        <v>1068.2</v>
      </c>
      <c r="E121" s="142" t="n">
        <v>5.25</v>
      </c>
      <c r="F121" s="141" t="n">
        <v>203.5</v>
      </c>
      <c r="G121" s="141" t="n">
        <v>235.7</v>
      </c>
      <c r="H121" s="141" t="n"/>
      <c r="I121" s="141" t="n">
        <v>235.7</v>
      </c>
      <c r="J121" s="141" t="n">
        <v>24.4</v>
      </c>
      <c r="K121" s="143">
        <f>IFERROR(ROUND(G121/J121,1),"")</f>
        <v/>
      </c>
      <c r="L121" s="138">
        <f>IFERROR(IF(K121&lt;4,"🔴 &lt;4Q",IF(K121&lt;8,"🟡 4-8Q","🟢 &gt;8Q")),"—")</f>
        <v/>
      </c>
      <c r="M121" s="140" t="n"/>
      <c r="N121" s="140" t="n"/>
      <c r="O121" s="141">
        <f>IFERROR(D121-G121,"")</f>
        <v/>
      </c>
      <c r="P121" s="144" t="inlineStr">
        <is>
          <t>yFinance / SEC EDGAR, Mar 2026</t>
        </is>
      </c>
    </row>
    <row r="122" ht="22" customHeight="1" s="89">
      <c r="A122" s="118" t="inlineStr">
        <is>
          <t>INBX</t>
        </is>
      </c>
      <c r="B122" s="134" t="inlineStr">
        <is>
          <t>Inhibrx Biosciences, Inc.</t>
        </is>
      </c>
      <c r="C122" s="135" t="inlineStr">
        <is>
          <t>Mar 2026</t>
        </is>
      </c>
      <c r="D122" s="119" t="n">
        <v>999.7</v>
      </c>
      <c r="E122" s="136" t="n">
        <v>68.73999999999999</v>
      </c>
      <c r="F122" s="119" t="n">
        <v>14.5</v>
      </c>
      <c r="G122" s="119" t="n">
        <v>153.1</v>
      </c>
      <c r="H122" s="119" t="n"/>
      <c r="I122" s="119" t="n">
        <v>153.1</v>
      </c>
      <c r="J122" s="119" t="n">
        <v>31.9</v>
      </c>
      <c r="K122" s="117">
        <f>IFERROR(ROUND(G122/J122,1),"")</f>
        <v/>
      </c>
      <c r="L122" s="118">
        <f>IFERROR(IF(K122&lt;4,"🔴 &lt;4Q",IF(K122&lt;8,"🟡 4-8Q","🟢 &gt;8Q")),"—")</f>
        <v/>
      </c>
      <c r="M122" s="135" t="n"/>
      <c r="N122" s="135" t="n"/>
      <c r="O122" s="119">
        <f>IFERROR(D122-G122,"")</f>
        <v/>
      </c>
      <c r="P122" s="137" t="inlineStr">
        <is>
          <t>yFinance / SEC EDGAR, Mar 2026</t>
        </is>
      </c>
    </row>
    <row r="123" ht="22" customHeight="1" s="89">
      <c r="A123" s="138" t="inlineStr">
        <is>
          <t>AZTA</t>
        </is>
      </c>
      <c r="B123" s="139" t="inlineStr">
        <is>
          <t>Azenta, Inc.</t>
        </is>
      </c>
      <c r="C123" s="140" t="inlineStr">
        <is>
          <t>Mar 2026</t>
        </is>
      </c>
      <c r="D123" s="141" t="n">
        <v>986.6</v>
      </c>
      <c r="E123" s="142" t="n">
        <v>21.42</v>
      </c>
      <c r="F123" s="141" t="n">
        <v>46.1</v>
      </c>
      <c r="G123" s="141" t="n">
        <v>409.7</v>
      </c>
      <c r="H123" s="141" t="n"/>
      <c r="I123" s="141" t="n">
        <v>409.7</v>
      </c>
      <c r="J123" s="141" t="n"/>
      <c r="K123" s="143" t="inlineStr">
        <is>
          <t>CF+</t>
        </is>
      </c>
      <c r="L123" s="138" t="inlineStr">
        <is>
          <t>✅ CF+</t>
        </is>
      </c>
      <c r="M123" s="140" t="n"/>
      <c r="N123" s="140" t="n"/>
      <c r="O123" s="141">
        <f>IFERROR(D123-G123,"")</f>
        <v/>
      </c>
      <c r="P123" s="144" t="inlineStr">
        <is>
          <t>yFinance / SEC EDGAR, Mar 2026</t>
        </is>
      </c>
    </row>
    <row r="124" ht="22" customHeight="1" s="89">
      <c r="A124" s="118" t="inlineStr">
        <is>
          <t>QURE</t>
        </is>
      </c>
      <c r="B124" s="134" t="inlineStr">
        <is>
          <t>uniQure N.V.</t>
        </is>
      </c>
      <c r="C124" s="135" t="inlineStr">
        <is>
          <t>Mar 2026</t>
        </is>
      </c>
      <c r="D124" s="119" t="n">
        <v>971.1</v>
      </c>
      <c r="E124" s="136" t="n">
        <v>15.53</v>
      </c>
      <c r="F124" s="119" t="n">
        <v>62.5</v>
      </c>
      <c r="G124" s="119" t="n">
        <v>622.5</v>
      </c>
      <c r="H124" s="119" t="n"/>
      <c r="I124" s="119" t="n">
        <v>622.5</v>
      </c>
      <c r="J124" s="119" t="n">
        <v>47</v>
      </c>
      <c r="K124" s="117">
        <f>IFERROR(ROUND(G124/J124,1),"")</f>
        <v/>
      </c>
      <c r="L124" s="118">
        <f>IFERROR(IF(K124&lt;4,"🔴 &lt;4Q",IF(K124&lt;8,"🟡 4-8Q","🟢 &gt;8Q")),"—")</f>
        <v/>
      </c>
      <c r="M124" s="135" t="n"/>
      <c r="N124" s="135" t="n"/>
      <c r="O124" s="119">
        <f>IFERROR(D124-G124,"")</f>
        <v/>
      </c>
      <c r="P124" s="137" t="inlineStr">
        <is>
          <t>yFinance / SEC EDGAR, Mar 2026</t>
        </is>
      </c>
    </row>
    <row r="125" ht="22" customHeight="1" s="89">
      <c r="A125" s="138" t="inlineStr">
        <is>
          <t>CMPX</t>
        </is>
      </c>
      <c r="B125" s="139" t="inlineStr">
        <is>
          <t>Compass Therapeutics, Inc.</t>
        </is>
      </c>
      <c r="C125" s="140" t="inlineStr">
        <is>
          <t>Mar 2026</t>
        </is>
      </c>
      <c r="D125" s="141" t="n">
        <v>923.1</v>
      </c>
      <c r="E125" s="142" t="n">
        <v>5.19</v>
      </c>
      <c r="F125" s="141" t="n">
        <v>177.9</v>
      </c>
      <c r="G125" s="141" t="n">
        <v>208.9</v>
      </c>
      <c r="H125" s="141" t="n"/>
      <c r="I125" s="141" t="n">
        <v>208.9</v>
      </c>
      <c r="J125" s="141" t="n">
        <v>11.3</v>
      </c>
      <c r="K125" s="143">
        <f>IFERROR(ROUND(G125/J125,1),"")</f>
        <v/>
      </c>
      <c r="L125" s="138">
        <f>IFERROR(IF(K125&lt;4,"🔴 &lt;4Q",IF(K125&lt;8,"🟡 4-8Q","🟢 &gt;8Q")),"—")</f>
        <v/>
      </c>
      <c r="M125" s="140" t="n"/>
      <c r="N125" s="140" t="n"/>
      <c r="O125" s="141">
        <f>IFERROR(D125-G125,"")</f>
        <v/>
      </c>
      <c r="P125" s="144" t="inlineStr">
        <is>
          <t>yFinance / SEC EDGAR, Mar 2026</t>
        </is>
      </c>
    </row>
    <row r="126" ht="22" customHeight="1" s="89">
      <c r="A126" s="118" t="inlineStr">
        <is>
          <t>SLS</t>
        </is>
      </c>
      <c r="B126" s="134" t="inlineStr">
        <is>
          <t>SELLAS Life Sciences Group, Inc.</t>
        </is>
      </c>
      <c r="C126" s="135" t="inlineStr">
        <is>
          <t>Mar 2026</t>
        </is>
      </c>
      <c r="D126" s="119" t="n">
        <v>914.4</v>
      </c>
      <c r="E126" s="136" t="n">
        <v>5.37</v>
      </c>
      <c r="F126" s="119" t="n">
        <v>170.3</v>
      </c>
      <c r="G126" s="119" t="n">
        <v>44.3</v>
      </c>
      <c r="H126" s="119" t="n"/>
      <c r="I126" s="119" t="n">
        <v>44.3</v>
      </c>
      <c r="J126" s="119" t="n">
        <v>7.2</v>
      </c>
      <c r="K126" s="117">
        <f>IFERROR(ROUND(G126/J126,1),"")</f>
        <v/>
      </c>
      <c r="L126" s="118">
        <f>IFERROR(IF(K126&lt;4,"🔴 &lt;4Q",IF(K126&lt;8,"🟡 4-8Q","🟢 &gt;8Q")),"—")</f>
        <v/>
      </c>
      <c r="M126" s="135" t="n"/>
      <c r="N126" s="135" t="n"/>
      <c r="O126" s="119">
        <f>IFERROR(D126-G126,"")</f>
        <v/>
      </c>
      <c r="P126" s="137" t="inlineStr">
        <is>
          <t>yFinance / SEC EDGAR, Mar 2026</t>
        </is>
      </c>
    </row>
    <row r="127" ht="22" customHeight="1" s="89">
      <c r="A127" s="138" t="inlineStr">
        <is>
          <t>NNNN</t>
        </is>
      </c>
      <c r="B127" s="139" t="inlineStr">
        <is>
          <t>Anbio Biotechnology</t>
        </is>
      </c>
      <c r="C127" s="140" t="inlineStr">
        <is>
          <t>Mar 2026</t>
        </is>
      </c>
      <c r="D127" s="141" t="n">
        <v>900.2</v>
      </c>
      <c r="E127" s="142" t="n">
        <v>20.51</v>
      </c>
      <c r="F127" s="141" t="n">
        <v>43.9</v>
      </c>
      <c r="G127" s="141" t="n">
        <v>13.4</v>
      </c>
      <c r="H127" s="141" t="n"/>
      <c r="I127" s="141" t="n">
        <v>13.4</v>
      </c>
      <c r="J127" s="141" t="n"/>
      <c r="K127" s="143" t="inlineStr">
        <is>
          <t>CF+</t>
        </is>
      </c>
      <c r="L127" s="138" t="inlineStr">
        <is>
          <t>✅ CF+</t>
        </is>
      </c>
      <c r="M127" s="140" t="n"/>
      <c r="N127" s="140" t="n"/>
      <c r="O127" s="141">
        <f>IFERROR(D127-G127,"")</f>
        <v/>
      </c>
      <c r="P127" s="144" t="inlineStr">
        <is>
          <t>yFinance / SEC EDGAR, Mar 2026</t>
        </is>
      </c>
    </row>
    <row r="128" ht="22" customHeight="1" s="89">
      <c r="A128" s="118" t="inlineStr">
        <is>
          <t>URGN</t>
        </is>
      </c>
      <c r="B128" s="134" t="inlineStr">
        <is>
          <t>UroGen Pharma Ltd.</t>
        </is>
      </c>
      <c r="C128" s="135" t="inlineStr">
        <is>
          <t>Mar 2026</t>
        </is>
      </c>
      <c r="D128" s="119" t="n">
        <v>897.7</v>
      </c>
      <c r="E128" s="136" t="n">
        <v>18.44</v>
      </c>
      <c r="F128" s="119" t="n">
        <v>48.7</v>
      </c>
      <c r="G128" s="119" t="n">
        <v>120.5</v>
      </c>
      <c r="H128" s="119" t="n"/>
      <c r="I128" s="119" t="n">
        <v>120.5</v>
      </c>
      <c r="J128" s="119" t="n">
        <v>40.3</v>
      </c>
      <c r="K128" s="117">
        <f>IFERROR(ROUND(G128/J128,1),"")</f>
        <v/>
      </c>
      <c r="L128" s="118">
        <f>IFERROR(IF(K128&lt;4,"🔴 &lt;4Q",IF(K128&lt;8,"🟡 4-8Q","🟢 &gt;8Q")),"—")</f>
        <v/>
      </c>
      <c r="M128" s="135" t="n"/>
      <c r="N128" s="135" t="n"/>
      <c r="O128" s="119">
        <f>IFERROR(D128-G128,"")</f>
        <v/>
      </c>
      <c r="P128" s="137" t="inlineStr">
        <is>
          <t>yFinance / SEC EDGAR, Mar 2026</t>
        </is>
      </c>
    </row>
    <row r="129" ht="22" customHeight="1" s="89">
      <c r="A129" s="138" t="inlineStr">
        <is>
          <t>SANA</t>
        </is>
      </c>
      <c r="B129" s="139" t="inlineStr">
        <is>
          <t>Sana Biotechnology, Inc.</t>
        </is>
      </c>
      <c r="C129" s="140" t="inlineStr">
        <is>
          <t>Mar 2026</t>
        </is>
      </c>
      <c r="D129" s="141" t="n">
        <v>896.7</v>
      </c>
      <c r="E129" s="142" t="n">
        <v>3.36</v>
      </c>
      <c r="F129" s="141" t="n">
        <v>266.9</v>
      </c>
      <c r="G129" s="141" t="n">
        <v>138.4</v>
      </c>
      <c r="H129" s="141" t="n"/>
      <c r="I129" s="141" t="n">
        <v>138.4</v>
      </c>
      <c r="J129" s="141" t="n">
        <v>31</v>
      </c>
      <c r="K129" s="143">
        <f>IFERROR(ROUND(G129/J129,1),"")</f>
        <v/>
      </c>
      <c r="L129" s="138">
        <f>IFERROR(IF(K129&lt;4,"🔴 &lt;4Q",IF(K129&lt;8,"🟡 4-8Q","🟢 &gt;8Q")),"—")</f>
        <v/>
      </c>
      <c r="M129" s="140" t="n"/>
      <c r="N129" s="140" t="n"/>
      <c r="O129" s="141">
        <f>IFERROR(D129-G129,"")</f>
        <v/>
      </c>
      <c r="P129" s="144" t="inlineStr">
        <is>
          <t>yFinance / SEC EDGAR, Mar 2026</t>
        </is>
      </c>
    </row>
    <row r="130" ht="22" customHeight="1" s="89">
      <c r="A130" s="118" t="inlineStr">
        <is>
          <t>XNCR</t>
        </is>
      </c>
      <c r="B130" s="134" t="inlineStr">
        <is>
          <t>Xencor, Inc.</t>
        </is>
      </c>
      <c r="C130" s="135" t="inlineStr">
        <is>
          <t>Mar 2026</t>
        </is>
      </c>
      <c r="D130" s="119" t="n">
        <v>880.1</v>
      </c>
      <c r="E130" s="136" t="n">
        <v>12</v>
      </c>
      <c r="F130" s="119" t="n">
        <v>73.3</v>
      </c>
      <c r="G130" s="119" t="n">
        <v>547.7</v>
      </c>
      <c r="H130" s="119" t="n"/>
      <c r="I130" s="119" t="n">
        <v>547.7</v>
      </c>
      <c r="J130" s="119" t="n">
        <v>41.3</v>
      </c>
      <c r="K130" s="117">
        <f>IFERROR(ROUND(G130/J130,1),"")</f>
        <v/>
      </c>
      <c r="L130" s="118">
        <f>IFERROR(IF(K130&lt;4,"🔴 &lt;4Q",IF(K130&lt;8,"🟡 4-8Q","🟢 &gt;8Q")),"—")</f>
        <v/>
      </c>
      <c r="M130" s="135" t="n"/>
      <c r="N130" s="135" t="n"/>
      <c r="O130" s="119">
        <f>IFERROR(D130-G130,"")</f>
        <v/>
      </c>
      <c r="P130" s="137" t="inlineStr">
        <is>
          <t>yFinance / SEC EDGAR, Mar 2026</t>
        </is>
      </c>
    </row>
    <row r="131" ht="22" customHeight="1" s="89">
      <c r="A131" s="138" t="inlineStr">
        <is>
          <t>KALV</t>
        </is>
      </c>
      <c r="B131" s="139" t="inlineStr">
        <is>
          <t>KalVista Pharmaceuticals, Inc.</t>
        </is>
      </c>
      <c r="C131" s="140" t="inlineStr">
        <is>
          <t>Mar 2026</t>
        </is>
      </c>
      <c r="D131" s="141" t="n">
        <v>856.3</v>
      </c>
      <c r="E131" s="142" t="n">
        <v>16.94</v>
      </c>
      <c r="F131" s="141" t="n">
        <v>50.5</v>
      </c>
      <c r="G131" s="141" t="n">
        <v>309.2</v>
      </c>
      <c r="H131" s="141" t="n"/>
      <c r="I131" s="141" t="n">
        <v>309.2</v>
      </c>
      <c r="J131" s="141" t="n">
        <v>47.4</v>
      </c>
      <c r="K131" s="143">
        <f>IFERROR(ROUND(G131/J131,1),"")</f>
        <v/>
      </c>
      <c r="L131" s="138">
        <f>IFERROR(IF(K131&lt;4,"🔴 &lt;4Q",IF(K131&lt;8,"🟡 4-8Q","🟢 &gt;8Q")),"—")</f>
        <v/>
      </c>
      <c r="M131" s="140" t="n"/>
      <c r="N131" s="140" t="n"/>
      <c r="O131" s="141">
        <f>IFERROR(D131-G131,"")</f>
        <v/>
      </c>
      <c r="P131" s="144" t="inlineStr">
        <is>
          <t>yFinance / SEC EDGAR, Mar 2026</t>
        </is>
      </c>
    </row>
    <row r="132" ht="22" customHeight="1" s="89">
      <c r="A132" s="118" t="inlineStr">
        <is>
          <t>MNKD</t>
        </is>
      </c>
      <c r="B132" s="134" t="inlineStr">
        <is>
          <t>MannKind Corporation</t>
        </is>
      </c>
      <c r="C132" s="135" t="inlineStr">
        <is>
          <t>Mar 2026</t>
        </is>
      </c>
      <c r="D132" s="119" t="n">
        <v>853.4</v>
      </c>
      <c r="E132" s="136" t="n">
        <v>2.77</v>
      </c>
      <c r="F132" s="119" t="n">
        <v>308.1</v>
      </c>
      <c r="G132" s="119" t="n">
        <v>171.3</v>
      </c>
      <c r="H132" s="119" t="n"/>
      <c r="I132" s="119" t="n">
        <v>171.3</v>
      </c>
      <c r="J132" s="119" t="n"/>
      <c r="K132" s="117" t="inlineStr">
        <is>
          <t>CF+</t>
        </is>
      </c>
      <c r="L132" s="118" t="inlineStr">
        <is>
          <t>✅ CF+</t>
        </is>
      </c>
      <c r="M132" s="135" t="n"/>
      <c r="N132" s="135" t="n"/>
      <c r="O132" s="119">
        <f>IFERROR(D132-G132,"")</f>
        <v/>
      </c>
      <c r="P132" s="137" t="inlineStr">
        <is>
          <t>yFinance / SEC EDGAR, Mar 2026</t>
        </is>
      </c>
    </row>
    <row r="133" ht="22" customHeight="1" s="89">
      <c r="A133" s="138" t="inlineStr">
        <is>
          <t>ANNX</t>
        </is>
      </c>
      <c r="B133" s="139" t="inlineStr">
        <is>
          <t>Annexon, Inc.</t>
        </is>
      </c>
      <c r="C133" s="140" t="inlineStr">
        <is>
          <t>Mar 2026</t>
        </is>
      </c>
      <c r="D133" s="141" t="n">
        <v>843.7</v>
      </c>
      <c r="E133" s="142" t="n">
        <v>5.66</v>
      </c>
      <c r="F133" s="141" t="n">
        <v>149.1</v>
      </c>
      <c r="G133" s="141" t="n">
        <v>188.7</v>
      </c>
      <c r="H133" s="141" t="n"/>
      <c r="I133" s="141" t="n">
        <v>188.7</v>
      </c>
      <c r="J133" s="141" t="n">
        <v>45.2</v>
      </c>
      <c r="K133" s="143">
        <f>IFERROR(ROUND(G133/J133,1),"")</f>
        <v/>
      </c>
      <c r="L133" s="138">
        <f>IFERROR(IF(K133&lt;4,"🔴 &lt;4Q",IF(K133&lt;8,"🟡 4-8Q","🟢 &gt;8Q")),"—")</f>
        <v/>
      </c>
      <c r="M133" s="140" t="n"/>
      <c r="N133" s="140" t="n"/>
      <c r="O133" s="141">
        <f>IFERROR(D133-G133,"")</f>
        <v/>
      </c>
      <c r="P133" s="144" t="inlineStr">
        <is>
          <t>yFinance / SEC EDGAR, Mar 2026</t>
        </is>
      </c>
    </row>
    <row r="134" ht="22" customHeight="1" s="89">
      <c r="A134" s="118" t="inlineStr">
        <is>
          <t>JANX</t>
        </is>
      </c>
      <c r="B134" s="134" t="inlineStr">
        <is>
          <t>Janux Therapeutics, Inc.</t>
        </is>
      </c>
      <c r="C134" s="135" t="inlineStr">
        <is>
          <t>Mar 2026</t>
        </is>
      </c>
      <c r="D134" s="119" t="n">
        <v>826.1</v>
      </c>
      <c r="E134" s="136" t="n">
        <v>13.58</v>
      </c>
      <c r="F134" s="119" t="n">
        <v>60.8</v>
      </c>
      <c r="G134" s="119" t="n">
        <v>966.6</v>
      </c>
      <c r="H134" s="119" t="n"/>
      <c r="I134" s="119" t="n">
        <v>966.6</v>
      </c>
      <c r="J134" s="119" t="n">
        <v>20.7</v>
      </c>
      <c r="K134" s="117">
        <f>IFERROR(ROUND(G134/J134,1),"")</f>
        <v/>
      </c>
      <c r="L134" s="118">
        <f>IFERROR(IF(K134&lt;4,"🔴 &lt;4Q",IF(K134&lt;8,"🟡 4-8Q","🟢 &gt;8Q")),"—")</f>
        <v/>
      </c>
      <c r="M134" s="135" t="n"/>
      <c r="N134" s="135" t="n"/>
      <c r="O134" s="119">
        <f>IFERROR(D134-G134,"")</f>
        <v/>
      </c>
      <c r="P134" s="137" t="inlineStr">
        <is>
          <t>yFinance / SEC EDGAR, Mar 2026</t>
        </is>
      </c>
    </row>
    <row r="135" ht="22" customHeight="1" s="89">
      <c r="A135" s="138" t="inlineStr">
        <is>
          <t>PHAT</t>
        </is>
      </c>
      <c r="B135" s="139" t="inlineStr">
        <is>
          <t>Phathom Pharmaceuticals, Inc.</t>
        </is>
      </c>
      <c r="C135" s="140" t="inlineStr">
        <is>
          <t>Mar 2026</t>
        </is>
      </c>
      <c r="D135" s="141" t="n">
        <v>817.1</v>
      </c>
      <c r="E135" s="142" t="n">
        <v>10.37</v>
      </c>
      <c r="F135" s="141" t="n">
        <v>78.8</v>
      </c>
      <c r="G135" s="141" t="n">
        <v>130</v>
      </c>
      <c r="H135" s="141" t="n"/>
      <c r="I135" s="141" t="n">
        <v>130</v>
      </c>
      <c r="J135" s="141" t="n">
        <v>9.6</v>
      </c>
      <c r="K135" s="143">
        <f>IFERROR(ROUND(G135/J135,1),"")</f>
        <v/>
      </c>
      <c r="L135" s="138">
        <f>IFERROR(IF(K135&lt;4,"🔴 &lt;4Q",IF(K135&lt;8,"🟡 4-8Q","🟢 &gt;8Q")),"—")</f>
        <v/>
      </c>
      <c r="M135" s="140" t="n"/>
      <c r="N135" s="140" t="n"/>
      <c r="O135" s="141">
        <f>IFERROR(D135-G135,"")</f>
        <v/>
      </c>
      <c r="P135" s="144" t="inlineStr">
        <is>
          <t>yFinance / SEC EDGAR, Mar 2026</t>
        </is>
      </c>
    </row>
    <row r="136" ht="22" customHeight="1" s="89">
      <c r="A136" s="118" t="inlineStr">
        <is>
          <t>OCGN</t>
        </is>
      </c>
      <c r="B136" s="134" t="inlineStr">
        <is>
          <t>Ocugen, Inc.</t>
        </is>
      </c>
      <c r="C136" s="135" t="inlineStr">
        <is>
          <t>Mar 2026</t>
        </is>
      </c>
      <c r="D136" s="119" t="n">
        <v>813.2</v>
      </c>
      <c r="E136" s="136" t="n">
        <v>2.48</v>
      </c>
      <c r="F136" s="119" t="n">
        <v>327.9</v>
      </c>
      <c r="G136" s="119" t="n">
        <v>18.6</v>
      </c>
      <c r="H136" s="119" t="n"/>
      <c r="I136" s="119" t="n">
        <v>18.6</v>
      </c>
      <c r="J136" s="119" t="n">
        <v>13.4</v>
      </c>
      <c r="K136" s="117">
        <f>IFERROR(ROUND(G136/J136,1),"")</f>
        <v/>
      </c>
      <c r="L136" s="118">
        <f>IFERROR(IF(K136&lt;4,"🔴 &lt;4Q",IF(K136&lt;8,"🟡 4-8Q","🟢 &gt;8Q")),"—")</f>
        <v/>
      </c>
      <c r="M136" s="135" t="n"/>
      <c r="N136" s="135" t="n"/>
      <c r="O136" s="119">
        <f>IFERROR(D136-G136,"")</f>
        <v/>
      </c>
      <c r="P136" s="137" t="inlineStr">
        <is>
          <t>yFinance / SEC EDGAR, Mar 2026</t>
        </is>
      </c>
    </row>
    <row r="137" ht="22" customHeight="1" s="89">
      <c r="A137" s="138" t="inlineStr">
        <is>
          <t>CGEM</t>
        </is>
      </c>
      <c r="B137" s="139" t="inlineStr">
        <is>
          <t>Cullinan Therapeutics, Inc.</t>
        </is>
      </c>
      <c r="C137" s="140" t="inlineStr">
        <is>
          <t>Mar 2026</t>
        </is>
      </c>
      <c r="D137" s="141" t="n">
        <v>796.9</v>
      </c>
      <c r="E137" s="142" t="n">
        <v>13.49</v>
      </c>
      <c r="F137" s="141" t="n">
        <v>59.1</v>
      </c>
      <c r="G137" s="141" t="n">
        <v>377.9</v>
      </c>
      <c r="H137" s="141" t="n"/>
      <c r="I137" s="141" t="n">
        <v>377.9</v>
      </c>
      <c r="J137" s="141" t="n">
        <v>47.2</v>
      </c>
      <c r="K137" s="143">
        <f>IFERROR(ROUND(G137/J137,1),"")</f>
        <v/>
      </c>
      <c r="L137" s="138">
        <f>IFERROR(IF(K137&lt;4,"🔴 &lt;4Q",IF(K137&lt;8,"🟡 4-8Q","🟢 &gt;8Q")),"—")</f>
        <v/>
      </c>
      <c r="M137" s="140" t="n"/>
      <c r="N137" s="140" t="n"/>
      <c r="O137" s="141">
        <f>IFERROR(D137-G137,"")</f>
        <v/>
      </c>
      <c r="P137" s="144" t="inlineStr">
        <is>
          <t>yFinance / SEC EDGAR, Mar 2026</t>
        </is>
      </c>
    </row>
    <row r="138" ht="22" customHeight="1" s="89">
      <c r="A138" s="118" t="inlineStr">
        <is>
          <t>OMER</t>
        </is>
      </c>
      <c r="B138" s="134" t="inlineStr">
        <is>
          <t>Omeros Corporation</t>
        </is>
      </c>
      <c r="C138" s="135" t="inlineStr">
        <is>
          <t>Mar 2026</t>
        </is>
      </c>
      <c r="D138" s="119" t="n">
        <v>793.4</v>
      </c>
      <c r="E138" s="136" t="n">
        <v>11.19</v>
      </c>
      <c r="F138" s="119" t="n">
        <v>70.90000000000001</v>
      </c>
      <c r="G138" s="119" t="n">
        <v>36.1</v>
      </c>
      <c r="H138" s="119" t="n"/>
      <c r="I138" s="119" t="n">
        <v>36.1</v>
      </c>
      <c r="J138" s="119" t="n">
        <v>20.2</v>
      </c>
      <c r="K138" s="117">
        <f>IFERROR(ROUND(G138/J138,1),"")</f>
        <v/>
      </c>
      <c r="L138" s="118">
        <f>IFERROR(IF(K138&lt;4,"🔴 &lt;4Q",IF(K138&lt;8,"🟡 4-8Q","🟢 &gt;8Q")),"—")</f>
        <v/>
      </c>
      <c r="M138" s="135" t="n"/>
      <c r="N138" s="135" t="n"/>
      <c r="O138" s="119">
        <f>IFERROR(D138-G138,"")</f>
        <v/>
      </c>
      <c r="P138" s="137" t="inlineStr">
        <is>
          <t>yFinance / SEC EDGAR, Mar 2026</t>
        </is>
      </c>
    </row>
    <row r="139" ht="22" customHeight="1" s="89">
      <c r="A139" s="138" t="inlineStr">
        <is>
          <t>CTMX</t>
        </is>
      </c>
      <c r="B139" s="139" t="inlineStr">
        <is>
          <t>CytomX Therapeutics, Inc.</t>
        </is>
      </c>
      <c r="C139" s="140" t="inlineStr">
        <is>
          <t>Mar 2026</t>
        </is>
      </c>
      <c r="D139" s="141" t="n">
        <v>793</v>
      </c>
      <c r="E139" s="142" t="n">
        <v>4.68</v>
      </c>
      <c r="F139" s="141" t="n">
        <v>169.4</v>
      </c>
      <c r="G139" s="141" t="n">
        <v>143.6</v>
      </c>
      <c r="H139" s="141" t="n"/>
      <c r="I139" s="141" t="n">
        <v>143.6</v>
      </c>
      <c r="J139" s="141" t="n">
        <v>15.7</v>
      </c>
      <c r="K139" s="143">
        <f>IFERROR(ROUND(G139/J139,1),"")</f>
        <v/>
      </c>
      <c r="L139" s="138">
        <f>IFERROR(IF(K139&lt;4,"🔴 &lt;4Q",IF(K139&lt;8,"🟡 4-8Q","🟢 &gt;8Q")),"—")</f>
        <v/>
      </c>
      <c r="M139" s="140" t="n"/>
      <c r="N139" s="140" t="n"/>
      <c r="O139" s="141">
        <f>IFERROR(D139-G139,"")</f>
        <v/>
      </c>
      <c r="P139" s="144" t="inlineStr">
        <is>
          <t>yFinance / SEC EDGAR, Mar 2026</t>
        </is>
      </c>
    </row>
    <row r="140" ht="22" customHeight="1" s="89">
      <c r="A140" s="118" t="inlineStr">
        <is>
          <t>APOG</t>
        </is>
      </c>
      <c r="B140" s="134" t="inlineStr">
        <is>
          <t>Apogee Enterprises, Inc.</t>
        </is>
      </c>
      <c r="C140" s="135" t="inlineStr">
        <is>
          <t>Mar 2026</t>
        </is>
      </c>
      <c r="D140" s="119" t="n">
        <v>715.7</v>
      </c>
      <c r="E140" s="136" t="n">
        <v>33.27</v>
      </c>
      <c r="F140" s="119" t="n">
        <v>21.5</v>
      </c>
      <c r="G140" s="119" t="n">
        <v>48.6</v>
      </c>
      <c r="H140" s="119" t="n"/>
      <c r="I140" s="119" t="n">
        <v>48.6</v>
      </c>
      <c r="J140" s="119" t="n"/>
      <c r="K140" s="117" t="inlineStr">
        <is>
          <t>CF+</t>
        </is>
      </c>
      <c r="L140" s="118" t="inlineStr">
        <is>
          <t>✅ CF+</t>
        </is>
      </c>
      <c r="M140" s="135" t="n"/>
      <c r="N140" s="135" t="n"/>
      <c r="O140" s="119">
        <f>IFERROR(D140-G140,"")</f>
        <v/>
      </c>
      <c r="P140" s="137" t="inlineStr">
        <is>
          <t>yFinance / SEC EDGAR, Mar 2026</t>
        </is>
      </c>
    </row>
    <row r="141" ht="22" customHeight="1" s="89">
      <c r="A141" s="138" t="inlineStr">
        <is>
          <t>TBPH</t>
        </is>
      </c>
      <c r="B141" s="139" t="inlineStr">
        <is>
          <t>Theravance Biopharma, Inc.</t>
        </is>
      </c>
      <c r="C141" s="140" t="inlineStr">
        <is>
          <t>Mar 2026</t>
        </is>
      </c>
      <c r="D141" s="141" t="n">
        <v>698.3</v>
      </c>
      <c r="E141" s="142" t="n">
        <v>13.78</v>
      </c>
      <c r="F141" s="141" t="n">
        <v>50.7</v>
      </c>
      <c r="G141" s="141" t="n">
        <v>329.7</v>
      </c>
      <c r="H141" s="141" t="n"/>
      <c r="I141" s="141" t="n">
        <v>329.7</v>
      </c>
      <c r="J141" s="141" t="n"/>
      <c r="K141" s="143" t="inlineStr">
        <is>
          <t>CF+</t>
        </is>
      </c>
      <c r="L141" s="138" t="inlineStr">
        <is>
          <t>✅ CF+</t>
        </is>
      </c>
      <c r="M141" s="140" t="n"/>
      <c r="N141" s="140" t="n"/>
      <c r="O141" s="141">
        <f>IFERROR(D141-G141,"")</f>
        <v/>
      </c>
      <c r="P141" s="144" t="inlineStr">
        <is>
          <t>yFinance / SEC EDGAR, Mar 2026</t>
        </is>
      </c>
    </row>
    <row r="142" ht="22" customHeight="1" s="89">
      <c r="A142" s="118" t="inlineStr">
        <is>
          <t>AGMB</t>
        </is>
      </c>
      <c r="B142" s="134" t="inlineStr">
        <is>
          <t>AgomAb Therapeutics NV</t>
        </is>
      </c>
      <c r="C142" s="135" t="inlineStr">
        <is>
          <t>Mar 2026</t>
        </is>
      </c>
      <c r="D142" s="119" t="n">
        <v>681.7</v>
      </c>
      <c r="E142" s="136" t="n">
        <v>13.85</v>
      </c>
      <c r="F142" s="119" t="n">
        <v>49.2</v>
      </c>
      <c r="G142" s="119" t="n">
        <v>171.5</v>
      </c>
      <c r="H142" s="119" t="n"/>
      <c r="I142" s="119" t="n">
        <v>171.5</v>
      </c>
      <c r="J142" s="119" t="n">
        <v>12.4</v>
      </c>
      <c r="K142" s="117">
        <f>IFERROR(ROUND(G142/J142,1),"")</f>
        <v/>
      </c>
      <c r="L142" s="118">
        <f>IFERROR(IF(K142&lt;4,"🔴 &lt;4Q",IF(K142&lt;8,"🟡 4-8Q","🟢 &gt;8Q")),"—")</f>
        <v/>
      </c>
      <c r="M142" s="135" t="n"/>
      <c r="N142" s="135" t="n"/>
      <c r="O142" s="119">
        <f>IFERROR(D142-G142,"")</f>
        <v/>
      </c>
      <c r="P142" s="137" t="inlineStr">
        <is>
          <t>yFinance / SEC EDGAR, Mar 2026</t>
        </is>
      </c>
    </row>
    <row r="143" ht="22" customHeight="1" s="89">
      <c r="A143" s="138" t="inlineStr">
        <is>
          <t>EIKN</t>
        </is>
      </c>
      <c r="B143" s="139" t="inlineStr">
        <is>
          <t>Eikon Therapeutics, Inc.</t>
        </is>
      </c>
      <c r="C143" s="140" t="inlineStr">
        <is>
          <t>Mar 2026</t>
        </is>
      </c>
      <c r="D143" s="141" t="n">
        <v>618.7</v>
      </c>
      <c r="E143" s="142" t="n">
        <v>11.46</v>
      </c>
      <c r="F143" s="141" t="n">
        <v>54</v>
      </c>
      <c r="G143" s="141" t="n">
        <v>220.1</v>
      </c>
      <c r="H143" s="141" t="n"/>
      <c r="I143" s="141" t="n">
        <v>220.1</v>
      </c>
      <c r="J143" s="141" t="n">
        <v>23.7</v>
      </c>
      <c r="K143" s="143">
        <f>IFERROR(ROUND(G143/J143,1),"")</f>
        <v/>
      </c>
      <c r="L143" s="138">
        <f>IFERROR(IF(K143&lt;4,"🔴 &lt;4Q",IF(K143&lt;8,"🟡 4-8Q","🟢 &gt;8Q")),"—")</f>
        <v/>
      </c>
      <c r="M143" s="140" t="n"/>
      <c r="N143" s="140" t="n"/>
      <c r="O143" s="141">
        <f>IFERROR(D143-G143,"")</f>
        <v/>
      </c>
      <c r="P143" s="144" t="inlineStr">
        <is>
          <t>yFinance / SEC EDGAR, Mar 2026</t>
        </is>
      </c>
    </row>
    <row r="144" ht="22" customHeight="1" s="89">
      <c r="A144" s="118" t="inlineStr">
        <is>
          <t>ALRS</t>
        </is>
      </c>
      <c r="B144" s="134" t="inlineStr">
        <is>
          <t>Alerus Financial Corporation</t>
        </is>
      </c>
      <c r="C144" s="135" t="inlineStr">
        <is>
          <t>Mar 2026</t>
        </is>
      </c>
      <c r="D144" s="119" t="n">
        <v>598.5</v>
      </c>
      <c r="E144" s="136" t="n">
        <v>23.56</v>
      </c>
      <c r="F144" s="119" t="n">
        <v>25.4</v>
      </c>
      <c r="G144" s="119" t="n">
        <v>53.7</v>
      </c>
      <c r="H144" s="119" t="n"/>
      <c r="I144" s="119" t="n">
        <v>53.7</v>
      </c>
      <c r="J144" s="119" t="n"/>
      <c r="K144" s="117" t="inlineStr">
        <is>
          <t>CF+</t>
        </is>
      </c>
      <c r="L144" s="118" t="inlineStr">
        <is>
          <t>✅ CF+</t>
        </is>
      </c>
      <c r="M144" s="135" t="n"/>
      <c r="N144" s="135" t="n"/>
      <c r="O144" s="119">
        <f>IFERROR(D144-G144,"")</f>
        <v/>
      </c>
      <c r="P144" s="137" t="inlineStr">
        <is>
          <t>yFinance / SEC EDGAR, Mar 2026</t>
        </is>
      </c>
    </row>
    <row r="145" ht="22" customHeight="1" s="89">
      <c r="A145" s="138" t="inlineStr">
        <is>
          <t>ESPR</t>
        </is>
      </c>
      <c r="B145" s="139" t="inlineStr">
        <is>
          <t>Esperion Therapeutics, Inc.</t>
        </is>
      </c>
      <c r="C145" s="140" t="inlineStr">
        <is>
          <t>Mar 2026</t>
        </is>
      </c>
      <c r="D145" s="141" t="n">
        <v>583.3</v>
      </c>
      <c r="E145" s="142" t="n">
        <v>2.44</v>
      </c>
      <c r="F145" s="141" t="n">
        <v>239.1</v>
      </c>
      <c r="G145" s="141" t="n">
        <v>167.9</v>
      </c>
      <c r="H145" s="141" t="n"/>
      <c r="I145" s="141" t="n">
        <v>167.9</v>
      </c>
      <c r="J145" s="141" t="n">
        <v>17.9</v>
      </c>
      <c r="K145" s="143">
        <f>IFERROR(ROUND(G145/J145,1),"")</f>
        <v/>
      </c>
      <c r="L145" s="138">
        <f>IFERROR(IF(K145&lt;4,"🔴 &lt;4Q",IF(K145&lt;8,"🟡 4-8Q","🟢 &gt;8Q")),"—")</f>
        <v/>
      </c>
      <c r="M145" s="140" t="n"/>
      <c r="N145" s="140" t="n"/>
      <c r="O145" s="141">
        <f>IFERROR(D145-G145,"")</f>
        <v/>
      </c>
      <c r="P145" s="144" t="inlineStr">
        <is>
          <t>yFinance / SEC EDGAR, Mar 2026</t>
        </is>
      </c>
    </row>
    <row r="146" ht="22" customHeight="1" s="89">
      <c r="A146" s="118" t="inlineStr">
        <is>
          <t>DSGN</t>
        </is>
      </c>
      <c r="B146" s="134" t="inlineStr">
        <is>
          <t>Design Therapeutics, Inc.</t>
        </is>
      </c>
      <c r="C146" s="135" t="inlineStr">
        <is>
          <t>Mar 2026</t>
        </is>
      </c>
      <c r="D146" s="119" t="n">
        <v>576.5</v>
      </c>
      <c r="E146" s="136" t="n">
        <v>10.12</v>
      </c>
      <c r="F146" s="119" t="n">
        <v>57</v>
      </c>
      <c r="G146" s="119" t="n">
        <v>219.8</v>
      </c>
      <c r="H146" s="119" t="n"/>
      <c r="I146" s="119" t="n">
        <v>219.8</v>
      </c>
      <c r="J146" s="119" t="n">
        <v>12.8</v>
      </c>
      <c r="K146" s="117">
        <f>IFERROR(ROUND(G146/J146,1),"")</f>
        <v/>
      </c>
      <c r="L146" s="118">
        <f>IFERROR(IF(K146&lt;4,"🔴 &lt;4Q",IF(K146&lt;8,"🟡 4-8Q","🟢 &gt;8Q")),"—")</f>
        <v/>
      </c>
      <c r="M146" s="135" t="n"/>
      <c r="N146" s="135" t="n"/>
      <c r="O146" s="119">
        <f>IFERROR(D146-G146,"")</f>
        <v/>
      </c>
      <c r="P146" s="137" t="inlineStr">
        <is>
          <t>yFinance / SEC EDGAR, Mar 2026</t>
        </is>
      </c>
    </row>
    <row r="147" ht="22" customHeight="1" s="89">
      <c r="A147" s="138" t="inlineStr">
        <is>
          <t>SLDB</t>
        </is>
      </c>
      <c r="B147" s="139" t="inlineStr">
        <is>
          <t>Solid Biosciences Inc.</t>
        </is>
      </c>
      <c r="C147" s="140" t="inlineStr">
        <is>
          <t>Mar 2026</t>
        </is>
      </c>
      <c r="D147" s="141" t="n">
        <v>569.5</v>
      </c>
      <c r="E147" s="142" t="n">
        <v>7.31</v>
      </c>
      <c r="F147" s="141" t="n">
        <v>77.90000000000001</v>
      </c>
      <c r="G147" s="141" t="n">
        <v>236.1</v>
      </c>
      <c r="H147" s="141" t="n"/>
      <c r="I147" s="141" t="n">
        <v>236.1</v>
      </c>
      <c r="J147" s="141" t="n">
        <v>35.4</v>
      </c>
      <c r="K147" s="143">
        <f>IFERROR(ROUND(G147/J147,1),"")</f>
        <v/>
      </c>
      <c r="L147" s="138">
        <f>IFERROR(IF(K147&lt;4,"🔴 &lt;4Q",IF(K147&lt;8,"🟡 4-8Q","🟢 &gt;8Q")),"—")</f>
        <v/>
      </c>
      <c r="M147" s="140" t="n"/>
      <c r="N147" s="140" t="n"/>
      <c r="O147" s="141">
        <f>IFERROR(D147-G147,"")</f>
        <v/>
      </c>
      <c r="P147" s="144" t="inlineStr">
        <is>
          <t>yFinance / SEC EDGAR, Mar 2026</t>
        </is>
      </c>
    </row>
    <row r="148" ht="22" customHeight="1" s="89">
      <c r="A148" s="118" t="inlineStr">
        <is>
          <t>CCXI</t>
        </is>
      </c>
      <c r="B148" s="134" t="inlineStr">
        <is>
          <t>Churchill Capital Corp XI</t>
        </is>
      </c>
      <c r="C148" s="135" t="inlineStr">
        <is>
          <t>Mar 2026</t>
        </is>
      </c>
      <c r="D148" s="119" t="n">
        <v>565.1</v>
      </c>
      <c r="E148" s="136" t="n">
        <v>10.14</v>
      </c>
      <c r="F148" s="119" t="n">
        <v>41.9</v>
      </c>
      <c r="G148" s="119" t="n"/>
      <c r="H148" s="119" t="n"/>
      <c r="I148" s="119" t="n"/>
      <c r="J148" s="119" t="n"/>
      <c r="K148" s="117" t="inlineStr"/>
      <c r="L148" s="118" t="inlineStr"/>
      <c r="M148" s="135" t="n"/>
      <c r="N148" s="135" t="n"/>
      <c r="O148" s="119">
        <f>IFERROR(D148-G148,"")</f>
        <v/>
      </c>
      <c r="P148" s="137" t="inlineStr">
        <is>
          <t>yFinance / SEC EDGAR, Mar 2026</t>
        </is>
      </c>
    </row>
    <row r="149" ht="22" customHeight="1" s="89">
      <c r="A149" s="138" t="inlineStr">
        <is>
          <t>VOR</t>
        </is>
      </c>
      <c r="B149" s="139" t="inlineStr">
        <is>
          <t>Vor Biopharma Inc.</t>
        </is>
      </c>
      <c r="C149" s="140" t="inlineStr">
        <is>
          <t>Mar 2026</t>
        </is>
      </c>
      <c r="D149" s="141" t="n">
        <v>560.9</v>
      </c>
      <c r="E149" s="142" t="n">
        <v>13.51</v>
      </c>
      <c r="F149" s="141" t="n">
        <v>41.5</v>
      </c>
      <c r="G149" s="141" t="n">
        <v>170.5</v>
      </c>
      <c r="H149" s="141" t="n"/>
      <c r="I149" s="141" t="n">
        <v>170.5</v>
      </c>
      <c r="J149" s="141" t="n">
        <v>44.4</v>
      </c>
      <c r="K149" s="143">
        <f>IFERROR(ROUND(G149/J149,1),"")</f>
        <v/>
      </c>
      <c r="L149" s="138">
        <f>IFERROR(IF(K149&lt;4,"🔴 &lt;4Q",IF(K149&lt;8,"🟡 4-8Q","🟢 &gt;8Q")),"—")</f>
        <v/>
      </c>
      <c r="M149" s="140" t="n"/>
      <c r="N149" s="140" t="n"/>
      <c r="O149" s="141">
        <f>IFERROR(D149-G149,"")</f>
        <v/>
      </c>
      <c r="P149" s="144" t="inlineStr">
        <is>
          <t>yFinance / SEC EDGAR, Mar 2026</t>
        </is>
      </c>
    </row>
    <row r="150" ht="22" customHeight="1" s="89">
      <c r="A150" s="118" t="inlineStr">
        <is>
          <t>IRWD</t>
        </is>
      </c>
      <c r="B150" s="134" t="inlineStr">
        <is>
          <t>Ironwood Pharmaceuticals, Inc.</t>
        </is>
      </c>
      <c r="C150" s="135" t="inlineStr">
        <is>
          <t>Mar 2026</t>
        </is>
      </c>
      <c r="D150" s="119" t="n">
        <v>549.5</v>
      </c>
      <c r="E150" s="136" t="n">
        <v>3.37</v>
      </c>
      <c r="F150" s="119" t="n">
        <v>163.1</v>
      </c>
      <c r="G150" s="119" t="n">
        <v>215.5</v>
      </c>
      <c r="H150" s="119" t="n"/>
      <c r="I150" s="119" t="n">
        <v>215.5</v>
      </c>
      <c r="J150" s="119" t="n"/>
      <c r="K150" s="117" t="inlineStr">
        <is>
          <t>CF+</t>
        </is>
      </c>
      <c r="L150" s="118" t="inlineStr">
        <is>
          <t>✅ CF+</t>
        </is>
      </c>
      <c r="M150" s="135" t="n"/>
      <c r="N150" s="135" t="n"/>
      <c r="O150" s="119">
        <f>IFERROR(D150-G150,"")</f>
        <v/>
      </c>
      <c r="P150" s="137" t="inlineStr">
        <is>
          <t>yFinance / SEC EDGAR, Mar 2026</t>
        </is>
      </c>
    </row>
    <row r="151" ht="22" customHeight="1" s="89">
      <c r="A151" s="138" t="inlineStr">
        <is>
          <t>ALLO</t>
        </is>
      </c>
      <c r="B151" s="139" t="inlineStr">
        <is>
          <t>Allogene Therapeutics, Inc.</t>
        </is>
      </c>
      <c r="C151" s="140" t="inlineStr">
        <is>
          <t>Mar 2026</t>
        </is>
      </c>
      <c r="D151" s="141" t="n">
        <v>539.4</v>
      </c>
      <c r="E151" s="142" t="n">
        <v>2.4</v>
      </c>
      <c r="F151" s="141" t="n">
        <v>224.7</v>
      </c>
      <c r="G151" s="141" t="n">
        <v>250.2</v>
      </c>
      <c r="H151" s="141" t="n"/>
      <c r="I151" s="141" t="n">
        <v>250.2</v>
      </c>
      <c r="J151" s="141" t="n">
        <v>34.4</v>
      </c>
      <c r="K151" s="143">
        <f>IFERROR(ROUND(G151/J151,1),"")</f>
        <v/>
      </c>
      <c r="L151" s="138">
        <f>IFERROR(IF(K151&lt;4,"🔴 &lt;4Q",IF(K151&lt;8,"🟡 4-8Q","🟢 &gt;8Q")),"—")</f>
        <v/>
      </c>
      <c r="M151" s="140" t="n"/>
      <c r="N151" s="140" t="n"/>
      <c r="O151" s="141">
        <f>IFERROR(D151-G151,"")</f>
        <v/>
      </c>
      <c r="P151" s="144" t="inlineStr">
        <is>
          <t>yFinance / SEC EDGAR, Mar 2026</t>
        </is>
      </c>
    </row>
    <row r="152" ht="22" customHeight="1" s="89">
      <c r="A152" s="118" t="inlineStr">
        <is>
          <t>RDVT</t>
        </is>
      </c>
      <c r="B152" s="134" t="inlineStr">
        <is>
          <t>Red Violet, Inc.</t>
        </is>
      </c>
      <c r="C152" s="135" t="inlineStr">
        <is>
          <t>Mar 2026</t>
        </is>
      </c>
      <c r="D152" s="119" t="n">
        <v>536.6</v>
      </c>
      <c r="E152" s="136" t="n">
        <v>38.09</v>
      </c>
      <c r="F152" s="119" t="n">
        <v>14.1</v>
      </c>
      <c r="G152" s="119" t="n">
        <v>43.6</v>
      </c>
      <c r="H152" s="119" t="n"/>
      <c r="I152" s="119" t="n">
        <v>43.6</v>
      </c>
      <c r="J152" s="119" t="n"/>
      <c r="K152" s="117" t="inlineStr">
        <is>
          <t>CF+</t>
        </is>
      </c>
      <c r="L152" s="118" t="inlineStr">
        <is>
          <t>✅ CF+</t>
        </is>
      </c>
      <c r="M152" s="135" t="n"/>
      <c r="N152" s="135" t="n"/>
      <c r="O152" s="119">
        <f>IFERROR(D152-G152,"")</f>
        <v/>
      </c>
      <c r="P152" s="137" t="inlineStr">
        <is>
          <t>yFinance / SEC EDGAR, Mar 2026</t>
        </is>
      </c>
    </row>
    <row r="153" ht="22" customHeight="1" s="89">
      <c r="A153" s="138" t="inlineStr">
        <is>
          <t>KYTX</t>
        </is>
      </c>
      <c r="B153" s="139" t="inlineStr">
        <is>
          <t>Kyverna Therapeutics, Inc.</t>
        </is>
      </c>
      <c r="C153" s="140" t="inlineStr">
        <is>
          <t>Mar 2026</t>
        </is>
      </c>
      <c r="D153" s="141" t="n">
        <v>533.5</v>
      </c>
      <c r="E153" s="142" t="n">
        <v>8.949999999999999</v>
      </c>
      <c r="F153" s="141" t="n">
        <v>59.6</v>
      </c>
      <c r="G153" s="141" t="n">
        <v>171.1</v>
      </c>
      <c r="H153" s="141" t="n"/>
      <c r="I153" s="141" t="n">
        <v>171.1</v>
      </c>
      <c r="J153" s="141" t="n">
        <v>37.6</v>
      </c>
      <c r="K153" s="143">
        <f>IFERROR(ROUND(G153/J153,1),"")</f>
        <v/>
      </c>
      <c r="L153" s="138">
        <f>IFERROR(IF(K153&lt;4,"🔴 &lt;4Q",IF(K153&lt;8,"🟡 4-8Q","🟢 &gt;8Q")),"—")</f>
        <v/>
      </c>
      <c r="M153" s="140" t="n"/>
      <c r="N153" s="140" t="n"/>
      <c r="O153" s="141">
        <f>IFERROR(D153-G153,"")</f>
        <v/>
      </c>
      <c r="P153" s="144" t="inlineStr">
        <is>
          <t>yFinance / SEC EDGAR, Mar 2026</t>
        </is>
      </c>
    </row>
    <row r="154" ht="22" customHeight="1" s="89">
      <c r="A154" s="118" t="inlineStr">
        <is>
          <t>VNDA</t>
        </is>
      </c>
      <c r="B154" s="134" t="inlineStr">
        <is>
          <t>Vanda Pharmaceuticals Inc.</t>
        </is>
      </c>
      <c r="C154" s="135" t="inlineStr">
        <is>
          <t>Mar 2026</t>
        </is>
      </c>
      <c r="D154" s="119" t="n">
        <v>520.7</v>
      </c>
      <c r="E154" s="136" t="n">
        <v>8.81</v>
      </c>
      <c r="F154" s="119" t="n">
        <v>59.1</v>
      </c>
      <c r="G154" s="119" t="n">
        <v>263.8</v>
      </c>
      <c r="H154" s="119" t="n"/>
      <c r="I154" s="119" t="n">
        <v>263.8</v>
      </c>
      <c r="J154" s="119" t="n">
        <v>30.5</v>
      </c>
      <c r="K154" s="117">
        <f>IFERROR(ROUND(G154/J154,1),"")</f>
        <v/>
      </c>
      <c r="L154" s="118">
        <f>IFERROR(IF(K154&lt;4,"🔴 &lt;4Q",IF(K154&lt;8,"🟡 4-8Q","🟢 &gt;8Q")),"—")</f>
        <v/>
      </c>
      <c r="M154" s="135" t="n"/>
      <c r="N154" s="135" t="n"/>
      <c r="O154" s="119">
        <f>IFERROR(D154-G154,"")</f>
        <v/>
      </c>
      <c r="P154" s="137" t="inlineStr">
        <is>
          <t>yFinance / SEC EDGAR, Mar 2026</t>
        </is>
      </c>
    </row>
    <row r="155" ht="22" customHeight="1" s="89">
      <c r="A155" s="138" t="inlineStr">
        <is>
          <t>EMBC</t>
        </is>
      </c>
      <c r="B155" s="139" t="inlineStr">
        <is>
          <t>Embecta Corp.</t>
        </is>
      </c>
      <c r="C155" s="140" t="inlineStr">
        <is>
          <t>Mar 2026</t>
        </is>
      </c>
      <c r="D155" s="141" t="n">
        <v>520.5</v>
      </c>
      <c r="E155" s="142" t="n">
        <v>8.789999999999999</v>
      </c>
      <c r="F155" s="141" t="n">
        <v>59.2</v>
      </c>
      <c r="G155" s="141" t="n">
        <v>201.3</v>
      </c>
      <c r="H155" s="141" t="n"/>
      <c r="I155" s="141" t="n">
        <v>201.3</v>
      </c>
      <c r="J155" s="141" t="n"/>
      <c r="K155" s="143" t="inlineStr">
        <is>
          <t>CF+</t>
        </is>
      </c>
      <c r="L155" s="138" t="inlineStr">
        <is>
          <t>✅ CF+</t>
        </is>
      </c>
      <c r="M155" s="140" t="n"/>
      <c r="N155" s="140" t="n"/>
      <c r="O155" s="141">
        <f>IFERROR(D155-G155,"")</f>
        <v/>
      </c>
      <c r="P155" s="144" t="inlineStr">
        <is>
          <t>yFinance / SEC EDGAR, Mar 2026</t>
        </is>
      </c>
    </row>
    <row r="156" ht="22" customHeight="1" s="89">
      <c r="A156" s="118" t="inlineStr">
        <is>
          <t>RCKT</t>
        </is>
      </c>
      <c r="B156" s="134" t="inlineStr">
        <is>
          <t>Rocket Pharmaceuticals, Inc.</t>
        </is>
      </c>
      <c r="C156" s="135" t="inlineStr">
        <is>
          <t>Mar 2026</t>
        </is>
      </c>
      <c r="D156" s="119" t="n">
        <v>513.5</v>
      </c>
      <c r="E156" s="136" t="n">
        <v>4.73</v>
      </c>
      <c r="F156" s="119" t="n">
        <v>108.6</v>
      </c>
      <c r="G156" s="119" t="n">
        <v>188.9</v>
      </c>
      <c r="H156" s="119" t="n"/>
      <c r="I156" s="119" t="n">
        <v>188.9</v>
      </c>
      <c r="J156" s="119" t="n">
        <v>42.6</v>
      </c>
      <c r="K156" s="117">
        <f>IFERROR(ROUND(G156/J156,1),"")</f>
        <v/>
      </c>
      <c r="L156" s="118">
        <f>IFERROR(IF(K156&lt;4,"🔴 &lt;4Q",IF(K156&lt;8,"🟡 4-8Q","🟢 &gt;8Q")),"—")</f>
        <v/>
      </c>
      <c r="M156" s="135" t="n"/>
      <c r="N156" s="135" t="n"/>
      <c r="O156" s="119">
        <f>IFERROR(D156-G156,"")</f>
        <v/>
      </c>
      <c r="P156" s="137" t="inlineStr">
        <is>
          <t>yFinance / SEC EDGAR, Mar 2026</t>
        </is>
      </c>
    </row>
    <row r="157" ht="22" customHeight="1" s="89">
      <c r="A157" s="138" t="inlineStr">
        <is>
          <t>NMRA</t>
        </is>
      </c>
      <c r="B157" s="139" t="inlineStr">
        <is>
          <t>Neumora Therapeutics, Inc.</t>
        </is>
      </c>
      <c r="C157" s="140" t="inlineStr">
        <is>
          <t>Mar 2026</t>
        </is>
      </c>
      <c r="D157" s="141" t="n">
        <v>509.8</v>
      </c>
      <c r="E157" s="142" t="n">
        <v>3</v>
      </c>
      <c r="F157" s="141" t="n">
        <v>169.9</v>
      </c>
      <c r="G157" s="141" t="n">
        <v>171.5</v>
      </c>
      <c r="H157" s="141" t="n"/>
      <c r="I157" s="141" t="n">
        <v>171.5</v>
      </c>
      <c r="J157" s="141" t="n">
        <v>49.5</v>
      </c>
      <c r="K157" s="143">
        <f>IFERROR(ROUND(G157/J157,1),"")</f>
        <v/>
      </c>
      <c r="L157" s="138">
        <f>IFERROR(IF(K157&lt;4,"🔴 &lt;4Q",IF(K157&lt;8,"🟡 4-8Q","🟢 &gt;8Q")),"—")</f>
        <v/>
      </c>
      <c r="M157" s="140" t="n"/>
      <c r="N157" s="140" t="n"/>
      <c r="O157" s="141">
        <f>IFERROR(D157-G157,"")</f>
        <v/>
      </c>
      <c r="P157" s="144" t="inlineStr">
        <is>
          <t>yFinance / SEC EDGAR, Mar 2026</t>
        </is>
      </c>
    </row>
    <row r="158" ht="22" customHeight="1" s="89">
      <c r="A158" s="118" t="inlineStr">
        <is>
          <t>FULC</t>
        </is>
      </c>
      <c r="B158" s="134" t="inlineStr">
        <is>
          <t>Fulcrum Therapeutics, Inc.</t>
        </is>
      </c>
      <c r="C158" s="135" t="inlineStr">
        <is>
          <t>Mar 2026</t>
        </is>
      </c>
      <c r="D158" s="119" t="n">
        <v>509.5</v>
      </c>
      <c r="E158" s="136" t="n">
        <v>7.65</v>
      </c>
      <c r="F158" s="119" t="n">
        <v>66.59999999999999</v>
      </c>
      <c r="G158" s="119" t="n">
        <v>352.3</v>
      </c>
      <c r="H158" s="119" t="n"/>
      <c r="I158" s="119" t="n">
        <v>352.3</v>
      </c>
      <c r="J158" s="119" t="n">
        <v>15.5</v>
      </c>
      <c r="K158" s="117">
        <f>IFERROR(ROUND(G158/J158,1),"")</f>
        <v/>
      </c>
      <c r="L158" s="118">
        <f>IFERROR(IF(K158&lt;4,"🔴 &lt;4Q",IF(K158&lt;8,"🟡 4-8Q","🟢 &gt;8Q")),"—")</f>
        <v/>
      </c>
      <c r="M158" s="135" t="n"/>
      <c r="N158" s="135" t="n"/>
      <c r="O158" s="119">
        <f>IFERROR(D158-G158,"")</f>
        <v/>
      </c>
      <c r="P158" s="137" t="inlineStr">
        <is>
          <t>yFinance / SEC EDGAR, Mar 2026</t>
        </is>
      </c>
    </row>
    <row r="159" ht="22" customHeight="1" s="89">
      <c r="A159" s="138" t="inlineStr">
        <is>
          <t>AQST</t>
        </is>
      </c>
      <c r="B159" s="139" t="inlineStr">
        <is>
          <t>Aquestive Therapeutics, Inc.</t>
        </is>
      </c>
      <c r="C159" s="140" t="inlineStr">
        <is>
          <t>Mar 2026</t>
        </is>
      </c>
      <c r="D159" s="141" t="n">
        <v>490.5</v>
      </c>
      <c r="E159" s="142" t="n">
        <v>4.02</v>
      </c>
      <c r="F159" s="141" t="n">
        <v>122</v>
      </c>
      <c r="G159" s="141" t="n">
        <v>121.2</v>
      </c>
      <c r="H159" s="141" t="n"/>
      <c r="I159" s="141" t="n">
        <v>121.2</v>
      </c>
      <c r="J159" s="141" t="n">
        <v>10.3</v>
      </c>
      <c r="K159" s="143">
        <f>IFERROR(ROUND(G159/J159,1),"")</f>
        <v/>
      </c>
      <c r="L159" s="138">
        <f>IFERROR(IF(K159&lt;4,"🔴 &lt;4Q",IF(K159&lt;8,"🟡 4-8Q","🟢 &gt;8Q")),"—")</f>
        <v/>
      </c>
      <c r="M159" s="140" t="n"/>
      <c r="N159" s="140" t="n"/>
      <c r="O159" s="141">
        <f>IFERROR(D159-G159,"")</f>
        <v/>
      </c>
      <c r="P159" s="144" t="inlineStr">
        <is>
          <t>yFinance / SEC EDGAR, Mar 2026</t>
        </is>
      </c>
    </row>
    <row r="160" ht="22" customHeight="1" s="89">
      <c r="A160" s="118" t="inlineStr">
        <is>
          <t>LXEO</t>
        </is>
      </c>
      <c r="B160" s="134" t="inlineStr">
        <is>
          <t>Lexeo Therapeutics, Inc.</t>
        </is>
      </c>
      <c r="C160" s="135" t="inlineStr">
        <is>
          <t>Mar 2026</t>
        </is>
      </c>
      <c r="D160" s="119" t="n">
        <v>486.1</v>
      </c>
      <c r="E160" s="136" t="n">
        <v>6.66</v>
      </c>
      <c r="F160" s="119" t="n">
        <v>73</v>
      </c>
      <c r="G160" s="119" t="n">
        <v>122.8</v>
      </c>
      <c r="H160" s="119" t="n"/>
      <c r="I160" s="119" t="n">
        <v>122.8</v>
      </c>
      <c r="J160" s="119" t="n">
        <v>28.4</v>
      </c>
      <c r="K160" s="117">
        <f>IFERROR(ROUND(G160/J160,1),"")</f>
        <v/>
      </c>
      <c r="L160" s="118">
        <f>IFERROR(IF(K160&lt;4,"🔴 &lt;4Q",IF(K160&lt;8,"🟡 4-8Q","🟢 &gt;8Q")),"—")</f>
        <v/>
      </c>
      <c r="M160" s="135" t="n"/>
      <c r="N160" s="135" t="n"/>
      <c r="O160" s="119">
        <f>IFERROR(D160-G160,"")</f>
        <v/>
      </c>
      <c r="P160" s="137" t="inlineStr">
        <is>
          <t>yFinance / SEC EDGAR, Mar 2026</t>
        </is>
      </c>
    </row>
    <row r="161" ht="22" customHeight="1" s="89">
      <c r="A161" s="138" t="inlineStr">
        <is>
          <t>TRDA</t>
        </is>
      </c>
      <c r="B161" s="139" t="inlineStr">
        <is>
          <t>Entrada Therapeutics, Inc.</t>
        </is>
      </c>
      <c r="C161" s="140" t="inlineStr">
        <is>
          <t>Mar 2026</t>
        </is>
      </c>
      <c r="D161" s="141" t="n">
        <v>485.8</v>
      </c>
      <c r="E161" s="142" t="n">
        <v>12.69</v>
      </c>
      <c r="F161" s="141" t="n">
        <v>38.3</v>
      </c>
      <c r="G161" s="141" t="n">
        <v>295.7</v>
      </c>
      <c r="H161" s="141" t="n"/>
      <c r="I161" s="141" t="n">
        <v>295.7</v>
      </c>
      <c r="J161" s="141" t="n">
        <v>30.3</v>
      </c>
      <c r="K161" s="143">
        <f>IFERROR(ROUND(G161/J161,1),"")</f>
        <v/>
      </c>
      <c r="L161" s="138">
        <f>IFERROR(IF(K161&lt;4,"🔴 &lt;4Q",IF(K161&lt;8,"🟡 4-8Q","🟢 &gt;8Q")),"—")</f>
        <v/>
      </c>
      <c r="M161" s="140" t="n"/>
      <c r="N161" s="140" t="n"/>
      <c r="O161" s="141">
        <f>IFERROR(D161-G161,"")</f>
        <v/>
      </c>
      <c r="P161" s="144" t="inlineStr">
        <is>
          <t>yFinance / SEC EDGAR, Mar 2026</t>
        </is>
      </c>
    </row>
    <row r="162" ht="22" customHeight="1" s="89">
      <c r="A162" s="118" t="inlineStr">
        <is>
          <t>ENGN</t>
        </is>
      </c>
      <c r="B162" s="134" t="inlineStr">
        <is>
          <t>enGene Holdings Inc.</t>
        </is>
      </c>
      <c r="C162" s="135" t="inlineStr">
        <is>
          <t>Mar 2026</t>
        </is>
      </c>
      <c r="D162" s="119" t="n">
        <v>479.6</v>
      </c>
      <c r="E162" s="136" t="n">
        <v>7.16</v>
      </c>
      <c r="F162" s="119" t="n">
        <v>67</v>
      </c>
      <c r="G162" s="119" t="n">
        <v>275.9</v>
      </c>
      <c r="H162" s="119" t="n"/>
      <c r="I162" s="119" t="n">
        <v>275.9</v>
      </c>
      <c r="J162" s="119" t="n">
        <v>25.3</v>
      </c>
      <c r="K162" s="117">
        <f>IFERROR(ROUND(G162/J162,1),"")</f>
        <v/>
      </c>
      <c r="L162" s="118">
        <f>IFERROR(IF(K162&lt;4,"🔴 &lt;4Q",IF(K162&lt;8,"🟡 4-8Q","🟢 &gt;8Q")),"—")</f>
        <v/>
      </c>
      <c r="M162" s="135" t="n"/>
      <c r="N162" s="135" t="n"/>
      <c r="O162" s="119">
        <f>IFERROR(D162-G162,"")</f>
        <v/>
      </c>
      <c r="P162" s="137" t="inlineStr">
        <is>
          <t>yFinance / SEC EDGAR, Mar 2026</t>
        </is>
      </c>
    </row>
    <row r="163" ht="22" customHeight="1" s="89">
      <c r="A163" s="138" t="inlineStr">
        <is>
          <t>RIGL</t>
        </is>
      </c>
      <c r="B163" s="139" t="inlineStr">
        <is>
          <t>Rigel Pharmaceuticals, Inc.</t>
        </is>
      </c>
      <c r="C163" s="140" t="inlineStr">
        <is>
          <t>Mar 2026</t>
        </is>
      </c>
      <c r="D163" s="141" t="n">
        <v>479.4</v>
      </c>
      <c r="E163" s="142" t="n">
        <v>25.95</v>
      </c>
      <c r="F163" s="141" t="n">
        <v>18.5</v>
      </c>
      <c r="G163" s="141" t="n">
        <v>155</v>
      </c>
      <c r="H163" s="141" t="n"/>
      <c r="I163" s="141" t="n">
        <v>155</v>
      </c>
      <c r="J163" s="141" t="n"/>
      <c r="K163" s="143" t="inlineStr">
        <is>
          <t>CF+</t>
        </is>
      </c>
      <c r="L163" s="138" t="inlineStr">
        <is>
          <t>✅ CF+</t>
        </is>
      </c>
      <c r="M163" s="140" t="n"/>
      <c r="N163" s="140" t="n"/>
      <c r="O163" s="141">
        <f>IFERROR(D163-G163,"")</f>
        <v/>
      </c>
      <c r="P163" s="144" t="inlineStr">
        <is>
          <t>yFinance / SEC EDGAR, Mar 2026</t>
        </is>
      </c>
    </row>
    <row r="164" ht="22" customHeight="1" s="89">
      <c r="A164" s="118" t="inlineStr">
        <is>
          <t>AVIR</t>
        </is>
      </c>
      <c r="B164" s="134" t="inlineStr">
        <is>
          <t>Atea Pharmaceuticals, Inc.</t>
        </is>
      </c>
      <c r="C164" s="135" t="inlineStr">
        <is>
          <t>Mar 2026</t>
        </is>
      </c>
      <c r="D164" s="119" t="n">
        <v>476.6</v>
      </c>
      <c r="E164" s="136" t="n">
        <v>6.1</v>
      </c>
      <c r="F164" s="119" t="n">
        <v>78.09999999999999</v>
      </c>
      <c r="G164" s="119" t="n">
        <v>301.8</v>
      </c>
      <c r="H164" s="119" t="n"/>
      <c r="I164" s="119" t="n">
        <v>301.8</v>
      </c>
      <c r="J164" s="119" t="n">
        <v>36.6</v>
      </c>
      <c r="K164" s="117">
        <f>IFERROR(ROUND(G164/J164,1),"")</f>
        <v/>
      </c>
      <c r="L164" s="118">
        <f>IFERROR(IF(K164&lt;4,"🔴 &lt;4Q",IF(K164&lt;8,"🟡 4-8Q","🟢 &gt;8Q")),"—")</f>
        <v/>
      </c>
      <c r="M164" s="135" t="n"/>
      <c r="N164" s="135" t="n"/>
      <c r="O164" s="119">
        <f>IFERROR(D164-G164,"")</f>
        <v/>
      </c>
      <c r="P164" s="137" t="inlineStr">
        <is>
          <t>yFinance / SEC EDGAR, Mar 2026</t>
        </is>
      </c>
    </row>
    <row r="165" ht="22" customHeight="1" s="89">
      <c r="A165" s="138" t="inlineStr">
        <is>
          <t>LRMR</t>
        </is>
      </c>
      <c r="B165" s="139" t="inlineStr">
        <is>
          <t>Larimar Therapeutics, Inc.</t>
        </is>
      </c>
      <c r="C165" s="140" t="inlineStr">
        <is>
          <t>Mar 2026</t>
        </is>
      </c>
      <c r="D165" s="141" t="n">
        <v>476</v>
      </c>
      <c r="E165" s="142" t="n">
        <v>4.59</v>
      </c>
      <c r="F165" s="141" t="n">
        <v>103.6</v>
      </c>
      <c r="G165" s="141" t="n">
        <v>175.4</v>
      </c>
      <c r="H165" s="141" t="n"/>
      <c r="I165" s="141" t="n">
        <v>175.4</v>
      </c>
      <c r="J165" s="141" t="n">
        <v>24.1</v>
      </c>
      <c r="K165" s="143">
        <f>IFERROR(ROUND(G165/J165,1),"")</f>
        <v/>
      </c>
      <c r="L165" s="138">
        <f>IFERROR(IF(K165&lt;4,"🔴 &lt;4Q",IF(K165&lt;8,"🟡 4-8Q","🟢 &gt;8Q")),"—")</f>
        <v/>
      </c>
      <c r="M165" s="140" t="n"/>
      <c r="N165" s="140" t="n"/>
      <c r="O165" s="141">
        <f>IFERROR(D165-G165,"")</f>
        <v/>
      </c>
      <c r="P165" s="144" t="inlineStr">
        <is>
          <t>yFinance / SEC EDGAR, Mar 2026</t>
        </is>
      </c>
    </row>
    <row r="166" ht="22" customHeight="1" s="89">
      <c r="A166" s="118" t="inlineStr">
        <is>
          <t>FDMT</t>
        </is>
      </c>
      <c r="B166" s="134" t="inlineStr">
        <is>
          <t>4D Molecular Therapeutics, Inc.</t>
        </is>
      </c>
      <c r="C166" s="135" t="inlineStr">
        <is>
          <t>Mar 2026</t>
        </is>
      </c>
      <c r="D166" s="119" t="n">
        <v>475.9</v>
      </c>
      <c r="E166" s="136" t="n">
        <v>8.33</v>
      </c>
      <c r="F166" s="119" t="n">
        <v>51</v>
      </c>
      <c r="G166" s="119" t="n">
        <v>305.1</v>
      </c>
      <c r="H166" s="119" t="n"/>
      <c r="I166" s="119" t="n">
        <v>305.1</v>
      </c>
      <c r="J166" s="119" t="n">
        <v>44.9</v>
      </c>
      <c r="K166" s="117">
        <f>IFERROR(ROUND(G166/J166,1),"")</f>
        <v/>
      </c>
      <c r="L166" s="118">
        <f>IFERROR(IF(K166&lt;4,"🔴 &lt;4Q",IF(K166&lt;8,"🟡 4-8Q","🟢 &gt;8Q")),"—")</f>
        <v/>
      </c>
      <c r="M166" s="135" t="n"/>
      <c r="N166" s="135" t="n"/>
      <c r="O166" s="119">
        <f>IFERROR(D166-G166,"")</f>
        <v/>
      </c>
      <c r="P166" s="137" t="inlineStr">
        <is>
          <t>yFinance / SEC EDGAR, Mar 2026</t>
        </is>
      </c>
    </row>
    <row r="167" ht="22" customHeight="1" s="89">
      <c r="A167" s="138" t="inlineStr">
        <is>
          <t>LYEL</t>
        </is>
      </c>
      <c r="B167" s="139" t="inlineStr">
        <is>
          <t>Lyell Immunopharma, Inc.</t>
        </is>
      </c>
      <c r="C167" s="140" t="inlineStr">
        <is>
          <t>Mar 2026</t>
        </is>
      </c>
      <c r="D167" s="141" t="n">
        <v>451.4</v>
      </c>
      <c r="E167" s="142" t="n">
        <v>21.25</v>
      </c>
      <c r="F167" s="141" t="n">
        <v>21.2</v>
      </c>
      <c r="G167" s="141" t="n">
        <v>247.2</v>
      </c>
      <c r="H167" s="141" t="n"/>
      <c r="I167" s="141" t="n">
        <v>247.2</v>
      </c>
      <c r="J167" s="141" t="n">
        <v>31.5</v>
      </c>
      <c r="K167" s="143">
        <f>IFERROR(ROUND(G167/J167,1),"")</f>
        <v/>
      </c>
      <c r="L167" s="138">
        <f>IFERROR(IF(K167&lt;4,"🔴 &lt;4Q",IF(K167&lt;8,"🟡 4-8Q","🟢 &gt;8Q")),"—")</f>
        <v/>
      </c>
      <c r="M167" s="140" t="n"/>
      <c r="N167" s="140" t="n"/>
      <c r="O167" s="141">
        <f>IFERROR(D167-G167,"")</f>
        <v/>
      </c>
      <c r="P167" s="144" t="inlineStr">
        <is>
          <t>yFinance / SEC EDGAR, Mar 2026</t>
        </is>
      </c>
    </row>
    <row r="168" ht="22" customHeight="1" s="89">
      <c r="A168" s="118" t="inlineStr">
        <is>
          <t>RGNX</t>
        </is>
      </c>
      <c r="B168" s="134" t="inlineStr">
        <is>
          <t>REGENXBIO Inc.</t>
        </is>
      </c>
      <c r="C168" s="135" t="inlineStr">
        <is>
          <t>Mar 2026</t>
        </is>
      </c>
      <c r="D168" s="119" t="n">
        <v>442.3</v>
      </c>
      <c r="E168" s="136" t="n">
        <v>8.57</v>
      </c>
      <c r="F168" s="119" t="n">
        <v>51.6</v>
      </c>
      <c r="G168" s="119" t="n">
        <v>230.1</v>
      </c>
      <c r="H168" s="119" t="n"/>
      <c r="I168" s="119" t="n">
        <v>230.1</v>
      </c>
      <c r="J168" s="119" t="n">
        <v>54.1</v>
      </c>
      <c r="K168" s="117">
        <f>IFERROR(ROUND(G168/J168,1),"")</f>
        <v/>
      </c>
      <c r="L168" s="118">
        <f>IFERROR(IF(K168&lt;4,"🔴 &lt;4Q",IF(K168&lt;8,"🟡 4-8Q","🟢 &gt;8Q")),"—")</f>
        <v/>
      </c>
      <c r="M168" s="135" t="n"/>
      <c r="N168" s="135" t="n"/>
      <c r="O168" s="119">
        <f>IFERROR(D168-G168,"")</f>
        <v/>
      </c>
      <c r="P168" s="137" t="inlineStr">
        <is>
          <t>yFinance / SEC EDGAR, Mar 2026</t>
        </is>
      </c>
    </row>
    <row r="169" ht="22" customHeight="1" s="89">
      <c r="A169" s="138" t="inlineStr">
        <is>
          <t>MYGN</t>
        </is>
      </c>
      <c r="B169" s="139" t="inlineStr">
        <is>
          <t>Myriad Genetics, Inc.</t>
        </is>
      </c>
      <c r="C169" s="140" t="inlineStr">
        <is>
          <t>Mar 2026</t>
        </is>
      </c>
      <c r="D169" s="141" t="n">
        <v>435.7</v>
      </c>
      <c r="E169" s="142" t="n">
        <v>4.66</v>
      </c>
      <c r="F169" s="141" t="n">
        <v>93.5</v>
      </c>
      <c r="G169" s="141" t="n">
        <v>149.6</v>
      </c>
      <c r="H169" s="141" t="n"/>
      <c r="I169" s="141" t="n">
        <v>149.6</v>
      </c>
      <c r="J169" s="141" t="n"/>
      <c r="K169" s="143" t="inlineStr">
        <is>
          <t>CF+</t>
        </is>
      </c>
      <c r="L169" s="138" t="inlineStr">
        <is>
          <t>✅ CF+</t>
        </is>
      </c>
      <c r="M169" s="140" t="n"/>
      <c r="N169" s="140" t="n"/>
      <c r="O169" s="141">
        <f>IFERROR(D169-G169,"")</f>
        <v/>
      </c>
      <c r="P169" s="144" t="inlineStr">
        <is>
          <t>yFinance / SEC EDGAR, Mar 2026</t>
        </is>
      </c>
    </row>
    <row r="170" ht="22" customHeight="1" s="89">
      <c r="A170" s="118" t="inlineStr">
        <is>
          <t>RLMD</t>
        </is>
      </c>
      <c r="B170" s="134" t="inlineStr">
        <is>
          <t>Relmada Therapeutics, Inc.</t>
        </is>
      </c>
      <c r="C170" s="135" t="inlineStr">
        <is>
          <t>Mar 2026</t>
        </is>
      </c>
      <c r="D170" s="119" t="n">
        <v>433.4</v>
      </c>
      <c r="E170" s="136" t="n">
        <v>5.91</v>
      </c>
      <c r="F170" s="119" t="n">
        <v>73.3</v>
      </c>
      <c r="G170" s="119" t="n">
        <v>13.9</v>
      </c>
      <c r="H170" s="119" t="n"/>
      <c r="I170" s="119" t="n">
        <v>13.9</v>
      </c>
      <c r="J170" s="119" t="n">
        <v>6.6</v>
      </c>
      <c r="K170" s="117">
        <f>IFERROR(ROUND(G170/J170,1),"")</f>
        <v/>
      </c>
      <c r="L170" s="118">
        <f>IFERROR(IF(K170&lt;4,"🔴 &lt;4Q",IF(K170&lt;8,"🟡 4-8Q","🟢 &gt;8Q")),"—")</f>
        <v/>
      </c>
      <c r="M170" s="135" t="n"/>
      <c r="N170" s="135" t="n"/>
      <c r="O170" s="119">
        <f>IFERROR(D170-G170,"")</f>
        <v/>
      </c>
      <c r="P170" s="137" t="inlineStr">
        <is>
          <t>yFinance / SEC EDGAR, Mar 2026</t>
        </is>
      </c>
    </row>
    <row r="171" ht="22" customHeight="1" s="89">
      <c r="A171" s="138" t="inlineStr">
        <is>
          <t>ACRS</t>
        </is>
      </c>
      <c r="B171" s="139" t="inlineStr">
        <is>
          <t>Aclaris Therapeutics, Inc.</t>
        </is>
      </c>
      <c r="C171" s="140" t="inlineStr">
        <is>
          <t>Mar 2026</t>
        </is>
      </c>
      <c r="D171" s="141" t="n">
        <v>428.6</v>
      </c>
      <c r="E171" s="142" t="n">
        <v>3.54</v>
      </c>
      <c r="F171" s="141" t="n">
        <v>121.1</v>
      </c>
      <c r="G171" s="141" t="n">
        <v>90.8</v>
      </c>
      <c r="H171" s="141" t="n"/>
      <c r="I171" s="141" t="n">
        <v>90.8</v>
      </c>
      <c r="J171" s="141" t="n">
        <v>12</v>
      </c>
      <c r="K171" s="143">
        <f>IFERROR(ROUND(G171/J171,1),"")</f>
        <v/>
      </c>
      <c r="L171" s="138">
        <f>IFERROR(IF(K171&lt;4,"🔴 &lt;4Q",IF(K171&lt;8,"🟡 4-8Q","🟢 &gt;8Q")),"—")</f>
        <v/>
      </c>
      <c r="M171" s="140" t="n"/>
      <c r="N171" s="140" t="n"/>
      <c r="O171" s="141">
        <f>IFERROR(D171-G171,"")</f>
        <v/>
      </c>
      <c r="P171" s="144" t="inlineStr">
        <is>
          <t>yFinance / SEC EDGAR, Mar 2026</t>
        </is>
      </c>
    </row>
    <row r="172" ht="22" customHeight="1" s="89">
      <c r="A172" s="118" t="inlineStr">
        <is>
          <t>ITIC</t>
        </is>
      </c>
      <c r="B172" s="134" t="inlineStr">
        <is>
          <t>Investors Title Company</t>
        </is>
      </c>
      <c r="C172" s="135" t="inlineStr">
        <is>
          <t>Mar 2026</t>
        </is>
      </c>
      <c r="D172" s="119" t="n">
        <v>421.4</v>
      </c>
      <c r="E172" s="136" t="n">
        <v>223.23</v>
      </c>
      <c r="F172" s="119" t="n">
        <v>1.9</v>
      </c>
      <c r="G172" s="119" t="n">
        <v>89.59999999999999</v>
      </c>
      <c r="H172" s="119" t="n"/>
      <c r="I172" s="119" t="n">
        <v>89.59999999999999</v>
      </c>
      <c r="J172" s="119" t="n"/>
      <c r="K172" s="117" t="inlineStr">
        <is>
          <t>CF+</t>
        </is>
      </c>
      <c r="L172" s="118" t="inlineStr">
        <is>
          <t>✅ CF+</t>
        </is>
      </c>
      <c r="M172" s="135" t="n"/>
      <c r="N172" s="135" t="n"/>
      <c r="O172" s="119">
        <f>IFERROR(D172-G172,"")</f>
        <v/>
      </c>
      <c r="P172" s="137" t="inlineStr">
        <is>
          <t>yFinance / SEC EDGAR, Mar 2026</t>
        </is>
      </c>
    </row>
    <row r="173" ht="22" customHeight="1" s="89">
      <c r="A173" s="138" t="inlineStr">
        <is>
          <t>IPSC</t>
        </is>
      </c>
      <c r="B173" s="139" t="inlineStr">
        <is>
          <t>Century Therapeutics, Inc.</t>
        </is>
      </c>
      <c r="C173" s="140" t="inlineStr">
        <is>
          <t>Mar 2026</t>
        </is>
      </c>
      <c r="D173" s="141" t="n">
        <v>420.6</v>
      </c>
      <c r="E173" s="142" t="n">
        <v>2.34</v>
      </c>
      <c r="F173" s="141" t="n">
        <v>179.7</v>
      </c>
      <c r="G173" s="141" t="n">
        <v>117.1</v>
      </c>
      <c r="H173" s="141" t="n"/>
      <c r="I173" s="141" t="n">
        <v>117.1</v>
      </c>
      <c r="J173" s="141" t="n">
        <v>26.6</v>
      </c>
      <c r="K173" s="143">
        <f>IFERROR(ROUND(G173/J173,1),"")</f>
        <v/>
      </c>
      <c r="L173" s="138">
        <f>IFERROR(IF(K173&lt;4,"🔴 &lt;4Q",IF(K173&lt;8,"🟡 4-8Q","🟢 &gt;8Q")),"—")</f>
        <v/>
      </c>
      <c r="M173" s="140" t="n"/>
      <c r="N173" s="140" t="n"/>
      <c r="O173" s="141">
        <f>IFERROR(D173-G173,"")</f>
        <v/>
      </c>
      <c r="P173" s="144" t="inlineStr">
        <is>
          <t>yFinance / SEC EDGAR, Mar 2026</t>
        </is>
      </c>
    </row>
    <row r="174" ht="22" customHeight="1" s="89">
      <c r="A174" s="118" t="inlineStr">
        <is>
          <t>MNPR</t>
        </is>
      </c>
      <c r="B174" s="134" t="inlineStr">
        <is>
          <t>Monopar Therapeutics Inc.</t>
        </is>
      </c>
      <c r="C174" s="135" t="inlineStr">
        <is>
          <t>Mar 2026</t>
        </is>
      </c>
      <c r="D174" s="119" t="n">
        <v>403.4</v>
      </c>
      <c r="E174" s="136" t="n">
        <v>60.36</v>
      </c>
      <c r="F174" s="119" t="n">
        <v>6.7</v>
      </c>
      <c r="G174" s="119" t="n">
        <v>143.7</v>
      </c>
      <c r="H174" s="119" t="n"/>
      <c r="I174" s="119" t="n">
        <v>143.7</v>
      </c>
      <c r="J174" s="119" t="n">
        <v>1.6</v>
      </c>
      <c r="K174" s="117">
        <f>IFERROR(ROUND(G174/J174,1),"")</f>
        <v/>
      </c>
      <c r="L174" s="118">
        <f>IFERROR(IF(K174&lt;4,"🔴 &lt;4Q",IF(K174&lt;8,"🟡 4-8Q","🟢 &gt;8Q")),"—")</f>
        <v/>
      </c>
      <c r="M174" s="135" t="n"/>
      <c r="N174" s="135" t="n"/>
      <c r="O174" s="119">
        <f>IFERROR(D174-G174,"")</f>
        <v/>
      </c>
      <c r="P174" s="137" t="inlineStr">
        <is>
          <t>yFinance / SEC EDGAR, Mar 2026</t>
        </is>
      </c>
    </row>
    <row r="175" ht="22" customHeight="1" s="89">
      <c r="A175" s="138" t="inlineStr">
        <is>
          <t>PACB</t>
        </is>
      </c>
      <c r="B175" s="139" t="inlineStr">
        <is>
          <t>Pacific Biosciences of California, Inc.</t>
        </is>
      </c>
      <c r="C175" s="140" t="inlineStr">
        <is>
          <t>Mar 2026</t>
        </is>
      </c>
      <c r="D175" s="141" t="n">
        <v>401.7</v>
      </c>
      <c r="E175" s="142" t="n">
        <v>1.33</v>
      </c>
      <c r="F175" s="141" t="n">
        <v>302</v>
      </c>
      <c r="G175" s="141" t="n">
        <v>279.5</v>
      </c>
      <c r="H175" s="141" t="n"/>
      <c r="I175" s="141" t="n">
        <v>279.5</v>
      </c>
      <c r="J175" s="141" t="n">
        <v>18.9</v>
      </c>
      <c r="K175" s="143">
        <f>IFERROR(ROUND(G175/J175,1),"")</f>
        <v/>
      </c>
      <c r="L175" s="138">
        <f>IFERROR(IF(K175&lt;4,"🔴 &lt;4Q",IF(K175&lt;8,"🟡 4-8Q","🟢 &gt;8Q")),"—")</f>
        <v/>
      </c>
      <c r="M175" s="140" t="n"/>
      <c r="N175" s="140" t="n"/>
      <c r="O175" s="141">
        <f>IFERROR(D175-G175,"")</f>
        <v/>
      </c>
      <c r="P175" s="144" t="inlineStr">
        <is>
          <t>yFinance / SEC EDGAR, Mar 2026</t>
        </is>
      </c>
    </row>
    <row r="176" ht="22" customHeight="1" s="89">
      <c r="A176" s="118" t="inlineStr">
        <is>
          <t>AKBA</t>
        </is>
      </c>
      <c r="B176" s="134" t="inlineStr">
        <is>
          <t>Akebia Therapeutics, Inc.</t>
        </is>
      </c>
      <c r="C176" s="135" t="inlineStr">
        <is>
          <t>Mar 2026</t>
        </is>
      </c>
      <c r="D176" s="119" t="n">
        <v>391.1</v>
      </c>
      <c r="E176" s="136" t="n">
        <v>1.46</v>
      </c>
      <c r="F176" s="119" t="n">
        <v>267.9</v>
      </c>
      <c r="G176" s="119" t="n">
        <v>184.8</v>
      </c>
      <c r="H176" s="119" t="n"/>
      <c r="I176" s="119" t="n">
        <v>184.8</v>
      </c>
      <c r="J176" s="119" t="n"/>
      <c r="K176" s="117" t="inlineStr">
        <is>
          <t>CF+</t>
        </is>
      </c>
      <c r="L176" s="118" t="inlineStr">
        <is>
          <t>✅ CF+</t>
        </is>
      </c>
      <c r="M176" s="135" t="n"/>
      <c r="N176" s="135" t="n"/>
      <c r="O176" s="119">
        <f>IFERROR(D176-G176,"")</f>
        <v/>
      </c>
      <c r="P176" s="137" t="inlineStr">
        <is>
          <t>yFinance / SEC EDGAR, Mar 2026</t>
        </is>
      </c>
    </row>
    <row r="177" ht="22" customHeight="1" s="89">
      <c r="A177" s="138" t="inlineStr">
        <is>
          <t>ARMP</t>
        </is>
      </c>
      <c r="B177" s="139" t="inlineStr">
        <is>
          <t>Armata Pharmaceuticals, Inc.</t>
        </is>
      </c>
      <c r="C177" s="140" t="inlineStr">
        <is>
          <t>Mar 2026</t>
        </is>
      </c>
      <c r="D177" s="141" t="n">
        <v>383.7</v>
      </c>
      <c r="E177" s="142" t="n">
        <v>10.54</v>
      </c>
      <c r="F177" s="141" t="n">
        <v>36.4</v>
      </c>
      <c r="G177" s="141" t="n">
        <v>14.8</v>
      </c>
      <c r="H177" s="141" t="n"/>
      <c r="I177" s="141" t="n">
        <v>14.8</v>
      </c>
      <c r="J177" s="141" t="n">
        <v>5.8</v>
      </c>
      <c r="K177" s="143">
        <f>IFERROR(ROUND(G177/J177,1),"")</f>
        <v/>
      </c>
      <c r="L177" s="138">
        <f>IFERROR(IF(K177&lt;4,"🔴 &lt;4Q",IF(K177&lt;8,"🟡 4-8Q","🟢 &gt;8Q")),"—")</f>
        <v/>
      </c>
      <c r="M177" s="140" t="n"/>
      <c r="N177" s="140" t="n"/>
      <c r="O177" s="141">
        <f>IFERROR(D177-G177,"")</f>
        <v/>
      </c>
      <c r="P177" s="144" t="inlineStr">
        <is>
          <t>yFinance / SEC EDGAR, Mar 2026</t>
        </is>
      </c>
    </row>
    <row r="178" ht="22" customHeight="1" s="89">
      <c r="A178" s="118" t="inlineStr">
        <is>
          <t>AUTL</t>
        </is>
      </c>
      <c r="B178" s="134" t="inlineStr">
        <is>
          <t>Autolus Therapeutics plc</t>
        </is>
      </c>
      <c r="C178" s="135" t="inlineStr">
        <is>
          <t>Mar 2026</t>
        </is>
      </c>
      <c r="D178" s="119" t="n">
        <v>383.2</v>
      </c>
      <c r="E178" s="136" t="n">
        <v>1.44</v>
      </c>
      <c r="F178" s="119" t="n">
        <v>266.1</v>
      </c>
      <c r="G178" s="119" t="n">
        <v>367.4</v>
      </c>
      <c r="H178" s="119" t="n"/>
      <c r="I178" s="119" t="n">
        <v>367.4</v>
      </c>
      <c r="J178" s="119" t="n">
        <v>70.3</v>
      </c>
      <c r="K178" s="117">
        <f>IFERROR(ROUND(G178/J178,1),"")</f>
        <v/>
      </c>
      <c r="L178" s="118">
        <f>IFERROR(IF(K178&lt;4,"🔴 &lt;4Q",IF(K178&lt;8,"🟡 4-8Q","🟢 &gt;8Q")),"—")</f>
        <v/>
      </c>
      <c r="M178" s="135" t="n"/>
      <c r="N178" s="135" t="n"/>
      <c r="O178" s="119">
        <f>IFERROR(D178-G178,"")</f>
        <v/>
      </c>
      <c r="P178" s="137" t="inlineStr">
        <is>
          <t>yFinance / SEC EDGAR, Mar 2026</t>
        </is>
      </c>
    </row>
    <row r="179" ht="22" customHeight="1" s="89">
      <c r="A179" s="138" t="inlineStr">
        <is>
          <t>LENZ</t>
        </is>
      </c>
      <c r="B179" s="139" t="inlineStr">
        <is>
          <t>LENZ Therapeutics, Inc.</t>
        </is>
      </c>
      <c r="C179" s="140" t="inlineStr">
        <is>
          <t>Mar 2026</t>
        </is>
      </c>
      <c r="D179" s="141" t="n">
        <v>380.2</v>
      </c>
      <c r="E179" s="142" t="n">
        <v>12.15</v>
      </c>
      <c r="F179" s="141" t="n">
        <v>31.3</v>
      </c>
      <c r="G179" s="141" t="n">
        <v>202.2</v>
      </c>
      <c r="H179" s="141" t="n"/>
      <c r="I179" s="141" t="n">
        <v>202.2</v>
      </c>
      <c r="J179" s="141" t="n">
        <v>10</v>
      </c>
      <c r="K179" s="143">
        <f>IFERROR(ROUND(G179/J179,1),"")</f>
        <v/>
      </c>
      <c r="L179" s="138">
        <f>IFERROR(IF(K179&lt;4,"🔴 &lt;4Q",IF(K179&lt;8,"🟡 4-8Q","🟢 &gt;8Q")),"—")</f>
        <v/>
      </c>
      <c r="M179" s="140" t="n"/>
      <c r="N179" s="140" t="n"/>
      <c r="O179" s="141">
        <f>IFERROR(D179-G179,"")</f>
        <v/>
      </c>
      <c r="P179" s="144" t="inlineStr">
        <is>
          <t>yFinance / SEC EDGAR, Mar 2026</t>
        </is>
      </c>
    </row>
    <row r="180" ht="22" customHeight="1" s="89">
      <c r="A180" s="118" t="inlineStr">
        <is>
          <t>STRO</t>
        </is>
      </c>
      <c r="B180" s="134" t="inlineStr">
        <is>
          <t>Sutro Biopharma, Inc.</t>
        </is>
      </c>
      <c r="C180" s="135" t="inlineStr">
        <is>
          <t>Mar 2026</t>
        </is>
      </c>
      <c r="D180" s="119" t="n">
        <v>378.2</v>
      </c>
      <c r="E180" s="136" t="n">
        <v>23.08</v>
      </c>
      <c r="F180" s="119" t="n">
        <v>16.4</v>
      </c>
      <c r="G180" s="119" t="n">
        <v>167.6</v>
      </c>
      <c r="H180" s="119" t="n"/>
      <c r="I180" s="119" t="n">
        <v>167.6</v>
      </c>
      <c r="J180" s="119" t="n">
        <v>41.5</v>
      </c>
      <c r="K180" s="117">
        <f>IFERROR(ROUND(G180/J180,1),"")</f>
        <v/>
      </c>
      <c r="L180" s="118">
        <f>IFERROR(IF(K180&lt;4,"🔴 &lt;4Q",IF(K180&lt;8,"🟡 4-8Q","🟢 &gt;8Q")),"—")</f>
        <v/>
      </c>
      <c r="M180" s="135" t="n"/>
      <c r="N180" s="135" t="n"/>
      <c r="O180" s="119">
        <f>IFERROR(D180-G180,"")</f>
        <v/>
      </c>
      <c r="P180" s="137" t="inlineStr">
        <is>
          <t>yFinance / SEC EDGAR, Mar 2026</t>
        </is>
      </c>
    </row>
    <row r="181" ht="22" customHeight="1" s="89">
      <c r="A181" s="138" t="inlineStr">
        <is>
          <t>AURA</t>
        </is>
      </c>
      <c r="B181" s="139" t="inlineStr">
        <is>
          <t>Aura Biosciences, Inc.</t>
        </is>
      </c>
      <c r="C181" s="140" t="inlineStr">
        <is>
          <t>Mar 2026</t>
        </is>
      </c>
      <c r="D181" s="141" t="n">
        <v>377.2</v>
      </c>
      <c r="E181" s="142" t="n">
        <v>5.94</v>
      </c>
      <c r="F181" s="141" t="n">
        <v>63.5</v>
      </c>
      <c r="G181" s="141" t="n">
        <v>161.9</v>
      </c>
      <c r="H181" s="141" t="n"/>
      <c r="I181" s="141" t="n">
        <v>161.9</v>
      </c>
      <c r="J181" s="141" t="n">
        <v>20.5</v>
      </c>
      <c r="K181" s="143">
        <f>IFERROR(ROUND(G181/J181,1),"")</f>
        <v/>
      </c>
      <c r="L181" s="138">
        <f>IFERROR(IF(K181&lt;4,"🔴 &lt;4Q",IF(K181&lt;8,"🟡 4-8Q","🟢 &gt;8Q")),"—")</f>
        <v/>
      </c>
      <c r="M181" s="140" t="n"/>
      <c r="N181" s="140" t="n"/>
      <c r="O181" s="141">
        <f>IFERROR(D181-G181,"")</f>
        <v/>
      </c>
      <c r="P181" s="144" t="inlineStr">
        <is>
          <t>yFinance / SEC EDGAR, Mar 2026</t>
        </is>
      </c>
    </row>
    <row r="182" ht="22" customHeight="1" s="89">
      <c r="A182" s="118" t="inlineStr">
        <is>
          <t>EVTL</t>
        </is>
      </c>
      <c r="B182" s="134" t="inlineStr">
        <is>
          <t>Vertical Aerospace Ltd.</t>
        </is>
      </c>
      <c r="C182" s="135" t="inlineStr">
        <is>
          <t>Mar 2026</t>
        </is>
      </c>
      <c r="D182" s="119" t="n">
        <v>373.2</v>
      </c>
      <c r="E182" s="136" t="n">
        <v>3.74</v>
      </c>
      <c r="F182" s="119" t="n">
        <v>98.5</v>
      </c>
      <c r="G182" s="119" t="n">
        <v>91.7</v>
      </c>
      <c r="H182" s="119" t="n"/>
      <c r="I182" s="119" t="n">
        <v>91.7</v>
      </c>
      <c r="J182" s="119" t="n">
        <v>13.2</v>
      </c>
      <c r="K182" s="117">
        <f>IFERROR(ROUND(G182/J182,1),"")</f>
        <v/>
      </c>
      <c r="L182" s="118">
        <f>IFERROR(IF(K182&lt;4,"🔴 &lt;4Q",IF(K182&lt;8,"🟡 4-8Q","🟢 &gt;8Q")),"—")</f>
        <v/>
      </c>
      <c r="M182" s="135" t="n"/>
      <c r="N182" s="135" t="n"/>
      <c r="O182" s="119">
        <f>IFERROR(D182-G182,"")</f>
        <v/>
      </c>
      <c r="P182" s="137" t="inlineStr">
        <is>
          <t>yFinance / SEC EDGAR, Mar 2026</t>
        </is>
      </c>
    </row>
    <row r="183" ht="22" customHeight="1" s="89">
      <c r="A183" s="138" t="inlineStr">
        <is>
          <t>LCTX</t>
        </is>
      </c>
      <c r="B183" s="139" t="inlineStr">
        <is>
          <t>Lineage Cell Therapeutics, Inc.</t>
        </is>
      </c>
      <c r="C183" s="140" t="inlineStr">
        <is>
          <t>Mar 2026</t>
        </is>
      </c>
      <c r="D183" s="141" t="n">
        <v>370.8</v>
      </c>
      <c r="E183" s="142" t="n">
        <v>1.61</v>
      </c>
      <c r="F183" s="141" t="n">
        <v>230.3</v>
      </c>
      <c r="G183" s="141" t="n">
        <v>55.8</v>
      </c>
      <c r="H183" s="141" t="n"/>
      <c r="I183" s="141" t="n">
        <v>55.8</v>
      </c>
      <c r="J183" s="141" t="n">
        <v>4.6</v>
      </c>
      <c r="K183" s="143">
        <f>IFERROR(ROUND(G183/J183,1),"")</f>
        <v/>
      </c>
      <c r="L183" s="138">
        <f>IFERROR(IF(K183&lt;4,"🔴 &lt;4Q",IF(K183&lt;8,"🟡 4-8Q","🟢 &gt;8Q")),"—")</f>
        <v/>
      </c>
      <c r="M183" s="140" t="n"/>
      <c r="N183" s="140" t="n"/>
      <c r="O183" s="141">
        <f>IFERROR(D183-G183,"")</f>
        <v/>
      </c>
      <c r="P183" s="144" t="inlineStr">
        <is>
          <t>yFinance / SEC EDGAR, Mar 2026</t>
        </is>
      </c>
    </row>
    <row r="184" ht="22" customHeight="1" s="89">
      <c r="A184" s="118" t="inlineStr">
        <is>
          <t>ENTA</t>
        </is>
      </c>
      <c r="B184" s="134" t="inlineStr">
        <is>
          <t>Enanta Pharmaceuticals, Inc.</t>
        </is>
      </c>
      <c r="C184" s="135" t="inlineStr">
        <is>
          <t>Mar 2026</t>
        </is>
      </c>
      <c r="D184" s="119" t="n">
        <v>368.5</v>
      </c>
      <c r="E184" s="136" t="n">
        <v>12.7</v>
      </c>
      <c r="F184" s="119" t="n">
        <v>29</v>
      </c>
      <c r="G184" s="119" t="n">
        <v>185.8</v>
      </c>
      <c r="H184" s="119" t="n"/>
      <c r="I184" s="119" t="n">
        <v>185.8</v>
      </c>
      <c r="J184" s="119" t="n">
        <v>9.1</v>
      </c>
      <c r="K184" s="117">
        <f>IFERROR(ROUND(G184/J184,1),"")</f>
        <v/>
      </c>
      <c r="L184" s="118">
        <f>IFERROR(IF(K184&lt;4,"🔴 &lt;4Q",IF(K184&lt;8,"🟡 4-8Q","🟢 &gt;8Q")),"—")</f>
        <v/>
      </c>
      <c r="M184" s="135" t="n"/>
      <c r="N184" s="135" t="n"/>
      <c r="O184" s="119">
        <f>IFERROR(D184-G184,"")</f>
        <v/>
      </c>
      <c r="P184" s="137" t="inlineStr">
        <is>
          <t>yFinance / SEC EDGAR, Mar 2026</t>
        </is>
      </c>
    </row>
    <row r="185" ht="22" customHeight="1" s="89">
      <c r="A185" s="138" t="inlineStr">
        <is>
          <t>ALTO</t>
        </is>
      </c>
      <c r="B185" s="139" t="inlineStr">
        <is>
          <t>Alto Ingredients, Inc.</t>
        </is>
      </c>
      <c r="C185" s="140" t="inlineStr">
        <is>
          <t>Mar 2026</t>
        </is>
      </c>
      <c r="D185" s="141" t="n">
        <v>360.4</v>
      </c>
      <c r="E185" s="142" t="n">
        <v>4.66</v>
      </c>
      <c r="F185" s="141" t="n">
        <v>77.3</v>
      </c>
      <c r="G185" s="141" t="n">
        <v>23.4</v>
      </c>
      <c r="H185" s="141" t="n"/>
      <c r="I185" s="141" t="n">
        <v>23.4</v>
      </c>
      <c r="J185" s="141" t="n"/>
      <c r="K185" s="143" t="inlineStr">
        <is>
          <t>CF+</t>
        </is>
      </c>
      <c r="L185" s="138" t="inlineStr">
        <is>
          <t>✅ CF+</t>
        </is>
      </c>
      <c r="M185" s="140" t="n"/>
      <c r="N185" s="140" t="n"/>
      <c r="O185" s="141">
        <f>IFERROR(D185-G185,"")</f>
        <v/>
      </c>
      <c r="P185" s="144" t="inlineStr">
        <is>
          <t>yFinance / SEC EDGAR, Mar 2026</t>
        </is>
      </c>
    </row>
    <row r="186" ht="22" customHeight="1" s="89">
      <c r="A186" s="118" t="inlineStr">
        <is>
          <t>CADL</t>
        </is>
      </c>
      <c r="B186" s="134" t="inlineStr">
        <is>
          <t>Candel Therapeutics, Inc.</t>
        </is>
      </c>
      <c r="C186" s="135" t="inlineStr">
        <is>
          <t>Mar 2026</t>
        </is>
      </c>
      <c r="D186" s="119" t="n">
        <v>342.1</v>
      </c>
      <c r="E186" s="136" t="n">
        <v>4.67</v>
      </c>
      <c r="F186" s="119" t="n">
        <v>73.2</v>
      </c>
      <c r="G186" s="119" t="n">
        <v>119.7</v>
      </c>
      <c r="H186" s="119" t="n"/>
      <c r="I186" s="119" t="n">
        <v>119.7</v>
      </c>
      <c r="J186" s="119" t="n">
        <v>9.6</v>
      </c>
      <c r="K186" s="117">
        <f>IFERROR(ROUND(G186/J186,1),"")</f>
        <v/>
      </c>
      <c r="L186" s="118">
        <f>IFERROR(IF(K186&lt;4,"🔴 &lt;4Q",IF(K186&lt;8,"🟡 4-8Q","🟢 &gt;8Q")),"—")</f>
        <v/>
      </c>
      <c r="M186" s="135" t="n"/>
      <c r="N186" s="135" t="n"/>
      <c r="O186" s="119">
        <f>IFERROR(D186-G186,"")</f>
        <v/>
      </c>
      <c r="P186" s="137" t="inlineStr">
        <is>
          <t>yFinance / SEC EDGAR, Mar 2026</t>
        </is>
      </c>
    </row>
    <row r="187" ht="22" customHeight="1" s="89">
      <c r="A187" s="138" t="inlineStr">
        <is>
          <t>ORGO</t>
        </is>
      </c>
      <c r="B187" s="139" t="inlineStr">
        <is>
          <t>Organogenesis Holdings Inc.</t>
        </is>
      </c>
      <c r="C187" s="140" t="inlineStr">
        <is>
          <t>Mar 2026</t>
        </is>
      </c>
      <c r="D187" s="141" t="n">
        <v>339.6</v>
      </c>
      <c r="E187" s="142" t="n">
        <v>2.64</v>
      </c>
      <c r="F187" s="141" t="n">
        <v>128.6</v>
      </c>
      <c r="G187" s="141" t="n">
        <v>95.90000000000001</v>
      </c>
      <c r="H187" s="141" t="n"/>
      <c r="I187" s="141" t="n">
        <v>95.90000000000001</v>
      </c>
      <c r="J187" s="141" t="n">
        <v>2.6</v>
      </c>
      <c r="K187" s="143">
        <f>IFERROR(ROUND(G187/J187,1),"")</f>
        <v/>
      </c>
      <c r="L187" s="138">
        <f>IFERROR(IF(K187&lt;4,"🔴 &lt;4Q",IF(K187&lt;8,"🟡 4-8Q","🟢 &gt;8Q")),"—")</f>
        <v/>
      </c>
      <c r="M187" s="140" t="n"/>
      <c r="N187" s="140" t="n"/>
      <c r="O187" s="141">
        <f>IFERROR(D187-G187,"")</f>
        <v/>
      </c>
      <c r="P187" s="144" t="inlineStr">
        <is>
          <t>yFinance / SEC EDGAR, Mar 2026</t>
        </is>
      </c>
    </row>
    <row r="188" ht="22" customHeight="1" s="89">
      <c r="A188" s="118" t="inlineStr">
        <is>
          <t>BCYC</t>
        </is>
      </c>
      <c r="B188" s="134" t="inlineStr">
        <is>
          <t>Bicycle Therapeutics plc</t>
        </is>
      </c>
      <c r="C188" s="135" t="inlineStr">
        <is>
          <t>Mar 2026</t>
        </is>
      </c>
      <c r="D188" s="119" t="n">
        <v>331.6</v>
      </c>
      <c r="E188" s="136" t="n">
        <v>4.78</v>
      </c>
      <c r="F188" s="119" t="n">
        <v>49.9</v>
      </c>
      <c r="G188" s="119" t="n">
        <v>648.3</v>
      </c>
      <c r="H188" s="119" t="n"/>
      <c r="I188" s="119" t="n">
        <v>648.3</v>
      </c>
      <c r="J188" s="119" t="n">
        <v>72</v>
      </c>
      <c r="K188" s="117">
        <f>IFERROR(ROUND(G188/J188,1),"")</f>
        <v/>
      </c>
      <c r="L188" s="118">
        <f>IFERROR(IF(K188&lt;4,"🔴 &lt;4Q",IF(K188&lt;8,"🟡 4-8Q","🟢 &gt;8Q")),"—")</f>
        <v/>
      </c>
      <c r="M188" s="135" t="n"/>
      <c r="N188" s="135" t="n"/>
      <c r="O188" s="119">
        <f>IFERROR(D188-G188,"")</f>
        <v/>
      </c>
      <c r="P188" s="137" t="inlineStr">
        <is>
          <t>yFinance / SEC EDGAR, Mar 2026</t>
        </is>
      </c>
    </row>
    <row r="189" ht="22" customHeight="1" s="89">
      <c r="A189" s="138" t="inlineStr">
        <is>
          <t>XFOR</t>
        </is>
      </c>
      <c r="B189" s="139" t="inlineStr">
        <is>
          <t>X4 Pharmaceuticals, Inc.</t>
        </is>
      </c>
      <c r="C189" s="140" t="inlineStr">
        <is>
          <t>Mar 2026</t>
        </is>
      </c>
      <c r="D189" s="141" t="n">
        <v>322.6</v>
      </c>
      <c r="E189" s="142" t="n">
        <v>3.69</v>
      </c>
      <c r="F189" s="141" t="n">
        <v>87.40000000000001</v>
      </c>
      <c r="G189" s="141" t="n">
        <v>122.2</v>
      </c>
      <c r="H189" s="141" t="n"/>
      <c r="I189" s="141" t="n">
        <v>122.2</v>
      </c>
      <c r="J189" s="141" t="n">
        <v>28.9</v>
      </c>
      <c r="K189" s="143">
        <f>IFERROR(ROUND(G189/J189,1),"")</f>
        <v/>
      </c>
      <c r="L189" s="138">
        <f>IFERROR(IF(K189&lt;4,"🔴 &lt;4Q",IF(K189&lt;8,"🟡 4-8Q","🟢 &gt;8Q")),"—")</f>
        <v/>
      </c>
      <c r="M189" s="140" t="n"/>
      <c r="N189" s="140" t="n"/>
      <c r="O189" s="141">
        <f>IFERROR(D189-G189,"")</f>
        <v/>
      </c>
      <c r="P189" s="144" t="inlineStr">
        <is>
          <t>yFinance / SEC EDGAR, Mar 2026</t>
        </is>
      </c>
    </row>
    <row r="190" ht="22" customHeight="1" s="89">
      <c r="A190" s="118" t="inlineStr">
        <is>
          <t>AMRN</t>
        </is>
      </c>
      <c r="B190" s="134" t="inlineStr">
        <is>
          <t>Amarin Corporation plc</t>
        </is>
      </c>
      <c r="C190" s="135" t="inlineStr">
        <is>
          <t>Mar 2026</t>
        </is>
      </c>
      <c r="D190" s="119" t="n">
        <v>319.1</v>
      </c>
      <c r="E190" s="136" t="n">
        <v>15.34</v>
      </c>
      <c r="F190" s="119" t="n">
        <v>20.8</v>
      </c>
      <c r="G190" s="119" t="n">
        <v>302.6</v>
      </c>
      <c r="H190" s="119" t="n"/>
      <c r="I190" s="119" t="n">
        <v>302.6</v>
      </c>
      <c r="J190" s="119" t="n"/>
      <c r="K190" s="117" t="inlineStr">
        <is>
          <t>CF+</t>
        </is>
      </c>
      <c r="L190" s="118" t="inlineStr">
        <is>
          <t>✅ CF+</t>
        </is>
      </c>
      <c r="M190" s="135" t="n"/>
      <c r="N190" s="135" t="n"/>
      <c r="O190" s="119">
        <f>IFERROR(D190-G190,"")</f>
        <v/>
      </c>
      <c r="P190" s="137" t="inlineStr">
        <is>
          <t>yFinance / SEC EDGAR, Mar 2026</t>
        </is>
      </c>
    </row>
    <row r="191" ht="22" customHeight="1" s="89">
      <c r="A191" s="138" t="inlineStr">
        <is>
          <t>PBYI</t>
        </is>
      </c>
      <c r="B191" s="139" t="inlineStr">
        <is>
          <t>Puma Biotechnology, Inc.</t>
        </is>
      </c>
      <c r="C191" s="140" t="inlineStr">
        <is>
          <t>Mar 2026</t>
        </is>
      </c>
      <c r="D191" s="141" t="n">
        <v>300.2</v>
      </c>
      <c r="E191" s="142" t="n">
        <v>5.9</v>
      </c>
      <c r="F191" s="141" t="n">
        <v>50.9</v>
      </c>
      <c r="G191" s="141" t="n">
        <v>97.5</v>
      </c>
      <c r="H191" s="141" t="n"/>
      <c r="I191" s="141" t="n">
        <v>97.5</v>
      </c>
      <c r="J191" s="141" t="n"/>
      <c r="K191" s="143" t="inlineStr">
        <is>
          <t>CF+</t>
        </is>
      </c>
      <c r="L191" s="138" t="inlineStr">
        <is>
          <t>✅ CF+</t>
        </is>
      </c>
      <c r="M191" s="140" t="n"/>
      <c r="N191" s="140" t="n"/>
      <c r="O191" s="141">
        <f>IFERROR(D191-G191,"")</f>
        <v/>
      </c>
      <c r="P191" s="144" t="inlineStr">
        <is>
          <t>yFinance / SEC EDGAR, Mar 2026</t>
        </is>
      </c>
    </row>
    <row r="192" ht="22" customHeight="1" s="89">
      <c r="A192" s="118" t="inlineStr">
        <is>
          <t>TARA</t>
        </is>
      </c>
      <c r="B192" s="134" t="inlineStr">
        <is>
          <t>Protara Therapeutics, Inc.</t>
        </is>
      </c>
      <c r="C192" s="135" t="inlineStr">
        <is>
          <t>Mar 2026</t>
        </is>
      </c>
      <c r="D192" s="119" t="n">
        <v>281.9</v>
      </c>
      <c r="E192" s="136" t="n">
        <v>5.26</v>
      </c>
      <c r="F192" s="119" t="n">
        <v>53.6</v>
      </c>
      <c r="G192" s="119" t="n">
        <v>155.6</v>
      </c>
      <c r="H192" s="119" t="n"/>
      <c r="I192" s="119" t="n">
        <v>155.6</v>
      </c>
      <c r="J192" s="119" t="n">
        <v>12.4</v>
      </c>
      <c r="K192" s="117">
        <f>IFERROR(ROUND(G192/J192,1),"")</f>
        <v/>
      </c>
      <c r="L192" s="118">
        <f>IFERROR(IF(K192&lt;4,"🔴 &lt;4Q",IF(K192&lt;8,"🟡 4-8Q","🟢 &gt;8Q")),"—")</f>
        <v/>
      </c>
      <c r="M192" s="135" t="n"/>
      <c r="N192" s="135" t="n"/>
      <c r="O192" s="119">
        <f>IFERROR(D192-G192,"")</f>
        <v/>
      </c>
      <c r="P192" s="137" t="inlineStr">
        <is>
          <t>yFinance / SEC EDGAR, Mar 2026</t>
        </is>
      </c>
    </row>
    <row r="193" ht="22" customHeight="1" s="89">
      <c r="A193" s="138" t="inlineStr">
        <is>
          <t>VYGR</t>
        </is>
      </c>
      <c r="B193" s="139" t="inlineStr">
        <is>
          <t>Voyager Therapeutics, Inc.</t>
        </is>
      </c>
      <c r="C193" s="140" t="inlineStr">
        <is>
          <t>Mar 2026</t>
        </is>
      </c>
      <c r="D193" s="141" t="n">
        <v>265.5</v>
      </c>
      <c r="E193" s="142" t="n">
        <v>4.46</v>
      </c>
      <c r="F193" s="141" t="n">
        <v>59.6</v>
      </c>
      <c r="G193" s="141" t="n">
        <v>196.4</v>
      </c>
      <c r="H193" s="141" t="n"/>
      <c r="I193" s="141" t="n">
        <v>196.4</v>
      </c>
      <c r="J193" s="141" t="n">
        <v>30.7</v>
      </c>
      <c r="K193" s="143">
        <f>IFERROR(ROUND(G193/J193,1),"")</f>
        <v/>
      </c>
      <c r="L193" s="138">
        <f>IFERROR(IF(K193&lt;4,"🔴 &lt;4Q",IF(K193&lt;8,"🟡 4-8Q","🟢 &gt;8Q")),"—")</f>
        <v/>
      </c>
      <c r="M193" s="140" t="n"/>
      <c r="N193" s="140" t="n"/>
      <c r="O193" s="141">
        <f>IFERROR(D193-G193,"")</f>
        <v/>
      </c>
      <c r="P193" s="144" t="inlineStr">
        <is>
          <t>yFinance / SEC EDGAR, Mar 2026</t>
        </is>
      </c>
    </row>
    <row r="194" ht="22" customHeight="1" s="89">
      <c r="A194" s="118" t="inlineStr">
        <is>
          <t>CCCC</t>
        </is>
      </c>
      <c r="B194" s="134" t="inlineStr">
        <is>
          <t>C4 Therapeutics, Inc.</t>
        </is>
      </c>
      <c r="C194" s="135" t="inlineStr">
        <is>
          <t>Mar 2026</t>
        </is>
      </c>
      <c r="D194" s="119" t="n">
        <v>265.4</v>
      </c>
      <c r="E194" s="136" t="n">
        <v>2.72</v>
      </c>
      <c r="F194" s="119" t="n">
        <v>97.59999999999999</v>
      </c>
      <c r="G194" s="119" t="n">
        <v>248.5</v>
      </c>
      <c r="H194" s="119" t="n"/>
      <c r="I194" s="119" t="n">
        <v>248.5</v>
      </c>
      <c r="J194" s="119" t="n">
        <v>26.7</v>
      </c>
      <c r="K194" s="117">
        <f>IFERROR(ROUND(G194/J194,1),"")</f>
        <v/>
      </c>
      <c r="L194" s="118">
        <f>IFERROR(IF(K194&lt;4,"🔴 &lt;4Q",IF(K194&lt;8,"🟡 4-8Q","🟢 &gt;8Q")),"—")</f>
        <v/>
      </c>
      <c r="M194" s="135" t="n"/>
      <c r="N194" s="135" t="n"/>
      <c r="O194" s="119">
        <f>IFERROR(D194-G194,"")</f>
        <v/>
      </c>
      <c r="P194" s="137" t="inlineStr">
        <is>
          <t>yFinance / SEC EDGAR, Mar 2026</t>
        </is>
      </c>
    </row>
    <row r="195" ht="22" customHeight="1" s="89">
      <c r="A195" s="138" t="inlineStr">
        <is>
          <t>FENC</t>
        </is>
      </c>
      <c r="B195" s="139" t="inlineStr">
        <is>
          <t>Fennec Pharmaceuticals Inc.</t>
        </is>
      </c>
      <c r="C195" s="140" t="inlineStr">
        <is>
          <t>Mar 2026</t>
        </is>
      </c>
      <c r="D195" s="141" t="n">
        <v>256.8</v>
      </c>
      <c r="E195" s="142" t="n">
        <v>7.52</v>
      </c>
      <c r="F195" s="141" t="n">
        <v>34.2</v>
      </c>
      <c r="G195" s="141" t="n">
        <v>21.9</v>
      </c>
      <c r="H195" s="141" t="n"/>
      <c r="I195" s="141" t="n">
        <v>21.9</v>
      </c>
      <c r="J195" s="141" t="n">
        <v>1.1</v>
      </c>
      <c r="K195" s="143">
        <f>IFERROR(ROUND(G195/J195,1),"")</f>
        <v/>
      </c>
      <c r="L195" s="138">
        <f>IFERROR(IF(K195&lt;4,"🔴 &lt;4Q",IF(K195&lt;8,"🟡 4-8Q","🟢 &gt;8Q")),"—")</f>
        <v/>
      </c>
      <c r="M195" s="140" t="n"/>
      <c r="N195" s="140" t="n"/>
      <c r="O195" s="141">
        <f>IFERROR(D195-G195,"")</f>
        <v/>
      </c>
      <c r="P195" s="144" t="inlineStr">
        <is>
          <t>yFinance / SEC EDGAR, Mar 2026</t>
        </is>
      </c>
    </row>
    <row r="196" ht="22" customHeight="1" s="89">
      <c r="A196" s="118" t="inlineStr">
        <is>
          <t>ALDX</t>
        </is>
      </c>
      <c r="B196" s="134" t="inlineStr">
        <is>
          <t>Aldeyra Therapeutics, Inc.</t>
        </is>
      </c>
      <c r="C196" s="135" t="inlineStr">
        <is>
          <t>Mar 2026</t>
        </is>
      </c>
      <c r="D196" s="119" t="n">
        <v>248.3</v>
      </c>
      <c r="E196" s="136" t="n">
        <v>4.12</v>
      </c>
      <c r="F196" s="119" t="n">
        <v>60.2</v>
      </c>
      <c r="G196" s="119" t="n">
        <v>70</v>
      </c>
      <c r="H196" s="119" t="n"/>
      <c r="I196" s="119" t="n">
        <v>70</v>
      </c>
      <c r="J196" s="119" t="n">
        <v>6.2</v>
      </c>
      <c r="K196" s="117">
        <f>IFERROR(ROUND(G196/J196,1),"")</f>
        <v/>
      </c>
      <c r="L196" s="118">
        <f>IFERROR(IF(K196&lt;4,"🔴 &lt;4Q",IF(K196&lt;8,"🟡 4-8Q","🟢 &gt;8Q")),"—")</f>
        <v/>
      </c>
      <c r="M196" s="135" t="n"/>
      <c r="N196" s="135" t="n"/>
      <c r="O196" s="119">
        <f>IFERROR(D196-G196,"")</f>
        <v/>
      </c>
      <c r="P196" s="137" t="inlineStr">
        <is>
          <t>yFinance / SEC EDGAR, Mar 2026</t>
        </is>
      </c>
    </row>
    <row r="197" ht="22" customHeight="1" s="89">
      <c r="A197" s="138" t="inlineStr">
        <is>
          <t>RZLT</t>
        </is>
      </c>
      <c r="B197" s="139" t="inlineStr">
        <is>
          <t>Rezolute, Inc.</t>
        </is>
      </c>
      <c r="C197" s="140" t="inlineStr">
        <is>
          <t>Mar 2026</t>
        </is>
      </c>
      <c r="D197" s="141" t="n">
        <v>248.3</v>
      </c>
      <c r="E197" s="142" t="n">
        <v>2.6</v>
      </c>
      <c r="F197" s="141" t="n">
        <v>95.7</v>
      </c>
      <c r="G197" s="141" t="n">
        <v>132.9</v>
      </c>
      <c r="H197" s="141" t="n"/>
      <c r="I197" s="141" t="n">
        <v>132.9</v>
      </c>
      <c r="J197" s="141" t="n">
        <v>18.9</v>
      </c>
      <c r="K197" s="143">
        <f>IFERROR(ROUND(G197/J197,1),"")</f>
        <v/>
      </c>
      <c r="L197" s="138">
        <f>IFERROR(IF(K197&lt;4,"🔴 &lt;4Q",IF(K197&lt;8,"🟡 4-8Q","🟢 &gt;8Q")),"—")</f>
        <v/>
      </c>
      <c r="M197" s="140" t="n"/>
      <c r="N197" s="140" t="n"/>
      <c r="O197" s="141">
        <f>IFERROR(D197-G197,"")</f>
        <v/>
      </c>
      <c r="P197" s="144" t="inlineStr">
        <is>
          <t>yFinance / SEC EDGAR, Mar 2026</t>
        </is>
      </c>
    </row>
    <row r="198" ht="22" customHeight="1" s="89">
      <c r="A198" s="118" t="inlineStr">
        <is>
          <t>CHRS</t>
        </is>
      </c>
      <c r="B198" s="134" t="inlineStr">
        <is>
          <t>Coherus Oncology, Inc.</t>
        </is>
      </c>
      <c r="C198" s="135" t="inlineStr">
        <is>
          <t>Mar 2026</t>
        </is>
      </c>
      <c r="D198" s="119" t="n">
        <v>244.3</v>
      </c>
      <c r="E198" s="136" t="n">
        <v>1.63</v>
      </c>
      <c r="F198" s="119" t="n">
        <v>149.9</v>
      </c>
      <c r="G198" s="119" t="n">
        <v>172.1</v>
      </c>
      <c r="H198" s="119" t="n"/>
      <c r="I198" s="119" t="n">
        <v>172.1</v>
      </c>
      <c r="J198" s="119" t="n">
        <v>33</v>
      </c>
      <c r="K198" s="117">
        <f>IFERROR(ROUND(G198/J198,1),"")</f>
        <v/>
      </c>
      <c r="L198" s="118">
        <f>IFERROR(IF(K198&lt;4,"🔴 &lt;4Q",IF(K198&lt;8,"🟡 4-8Q","🟢 &gt;8Q")),"—")</f>
        <v/>
      </c>
      <c r="M198" s="135" t="n"/>
      <c r="N198" s="135" t="n"/>
      <c r="O198" s="119">
        <f>IFERROR(D198-G198,"")</f>
        <v/>
      </c>
      <c r="P198" s="137" t="inlineStr">
        <is>
          <t>yFinance / SEC EDGAR, Mar 2026</t>
        </is>
      </c>
    </row>
    <row r="199" ht="22" customHeight="1" s="89">
      <c r="A199" s="138" t="inlineStr">
        <is>
          <t>ALEC</t>
        </is>
      </c>
      <c r="B199" s="139" t="inlineStr">
        <is>
          <t>Alector, Inc.</t>
        </is>
      </c>
      <c r="C199" s="140" t="inlineStr">
        <is>
          <t>Mar 2026</t>
        </is>
      </c>
      <c r="D199" s="141" t="n">
        <v>242.8</v>
      </c>
      <c r="E199" s="142" t="n">
        <v>2.2</v>
      </c>
      <c r="F199" s="141" t="n">
        <v>110.4</v>
      </c>
      <c r="G199" s="141" t="n">
        <v>256</v>
      </c>
      <c r="H199" s="141" t="n"/>
      <c r="I199" s="141" t="n">
        <v>256</v>
      </c>
      <c r="J199" s="141" t="n">
        <v>37.1</v>
      </c>
      <c r="K199" s="143">
        <f>IFERROR(ROUND(G199/J199,1),"")</f>
        <v/>
      </c>
      <c r="L199" s="138">
        <f>IFERROR(IF(K199&lt;4,"🔴 &lt;4Q",IF(K199&lt;8,"🟡 4-8Q","🟢 &gt;8Q")),"—")</f>
        <v/>
      </c>
      <c r="M199" s="140" t="n"/>
      <c r="N199" s="140" t="n"/>
      <c r="O199" s="141">
        <f>IFERROR(D199-G199,"")</f>
        <v/>
      </c>
      <c r="P199" s="144" t="inlineStr">
        <is>
          <t>yFinance / SEC EDGAR, Mar 2026</t>
        </is>
      </c>
    </row>
    <row r="200" ht="22" customHeight="1" s="89">
      <c r="A200" s="118" t="inlineStr">
        <is>
          <t>IKT</t>
        </is>
      </c>
      <c r="B200" s="134" t="inlineStr">
        <is>
          <t>Inhibikase Therapeutics, Inc.</t>
        </is>
      </c>
      <c r="C200" s="135" t="inlineStr">
        <is>
          <t>Mar 2026</t>
        </is>
      </c>
      <c r="D200" s="119" t="n">
        <v>242.5</v>
      </c>
      <c r="E200" s="136" t="n">
        <v>2</v>
      </c>
      <c r="F200" s="119" t="n">
        <v>121.3</v>
      </c>
      <c r="G200" s="119" t="n">
        <v>77.3</v>
      </c>
      <c r="H200" s="119" t="n"/>
      <c r="I200" s="119" t="n">
        <v>77.3</v>
      </c>
      <c r="J200" s="119" t="n">
        <v>8.1</v>
      </c>
      <c r="K200" s="117">
        <f>IFERROR(ROUND(G200/J200,1),"")</f>
        <v/>
      </c>
      <c r="L200" s="118">
        <f>IFERROR(IF(K200&lt;4,"🔴 &lt;4Q",IF(K200&lt;8,"🟡 4-8Q","🟢 &gt;8Q")),"—")</f>
        <v/>
      </c>
      <c r="M200" s="135" t="n"/>
      <c r="N200" s="135" t="n"/>
      <c r="O200" s="119">
        <f>IFERROR(D200-G200,"")</f>
        <v/>
      </c>
      <c r="P200" s="137" t="inlineStr">
        <is>
          <t>yFinance / SEC EDGAR, Mar 2026</t>
        </is>
      </c>
    </row>
    <row r="201" ht="22" customHeight="1" s="89">
      <c r="A201" s="138" t="inlineStr">
        <is>
          <t>EDIT</t>
        </is>
      </c>
      <c r="B201" s="139" t="inlineStr">
        <is>
          <t>Editas Medicine, Inc.</t>
        </is>
      </c>
      <c r="C201" s="140" t="inlineStr">
        <is>
          <t>Mar 2026</t>
        </is>
      </c>
      <c r="D201" s="141" t="n">
        <v>238.8</v>
      </c>
      <c r="E201" s="142" t="n">
        <v>2.44</v>
      </c>
      <c r="F201" s="141" t="n">
        <v>97.90000000000001</v>
      </c>
      <c r="G201" s="141" t="n">
        <v>146.6</v>
      </c>
      <c r="H201" s="141" t="n"/>
      <c r="I201" s="141" t="n">
        <v>146.6</v>
      </c>
      <c r="J201" s="141" t="n">
        <v>33.6</v>
      </c>
      <c r="K201" s="143">
        <f>IFERROR(ROUND(G201/J201,1),"")</f>
        <v/>
      </c>
      <c r="L201" s="138">
        <f>IFERROR(IF(K201&lt;4,"🔴 &lt;4Q",IF(K201&lt;8,"🟡 4-8Q","🟢 &gt;8Q")),"—")</f>
        <v/>
      </c>
      <c r="M201" s="140" t="n"/>
      <c r="N201" s="140" t="n"/>
      <c r="O201" s="141">
        <f>IFERROR(D201-G201,"")</f>
        <v/>
      </c>
      <c r="P201" s="144" t="inlineStr">
        <is>
          <t>yFinance / SEC EDGAR, Mar 2026</t>
        </is>
      </c>
    </row>
    <row r="202" ht="22" customHeight="1" s="89">
      <c r="A202" s="118" t="inlineStr">
        <is>
          <t>PLX</t>
        </is>
      </c>
      <c r="B202" s="134" t="inlineStr">
        <is>
          <t>Protalix BioTherapeutics, Inc.</t>
        </is>
      </c>
      <c r="C202" s="135" t="inlineStr">
        <is>
          <t>Mar 2026</t>
        </is>
      </c>
      <c r="D202" s="119" t="n">
        <v>227.6</v>
      </c>
      <c r="E202" s="136" t="n">
        <v>2.83</v>
      </c>
      <c r="F202" s="119" t="n">
        <v>80.40000000000001</v>
      </c>
      <c r="G202" s="119" t="n">
        <v>29.4</v>
      </c>
      <c r="H202" s="119" t="n"/>
      <c r="I202" s="119" t="n">
        <v>29.4</v>
      </c>
      <c r="J202" s="119" t="n">
        <v>4.5</v>
      </c>
      <c r="K202" s="117">
        <f>IFERROR(ROUND(G202/J202,1),"")</f>
        <v/>
      </c>
      <c r="L202" s="118">
        <f>IFERROR(IF(K202&lt;4,"🔴 &lt;4Q",IF(K202&lt;8,"🟡 4-8Q","🟢 &gt;8Q")),"—")</f>
        <v/>
      </c>
      <c r="M202" s="135" t="n"/>
      <c r="N202" s="135" t="n"/>
      <c r="O202" s="119">
        <f>IFERROR(D202-G202,"")</f>
        <v/>
      </c>
      <c r="P202" s="137" t="inlineStr">
        <is>
          <t>yFinance / SEC EDGAR, Mar 2026</t>
        </is>
      </c>
    </row>
    <row r="203" ht="22" customHeight="1" s="89">
      <c r="A203" s="138" t="inlineStr">
        <is>
          <t>MASS</t>
        </is>
      </c>
      <c r="B203" s="139" t="inlineStr">
        <is>
          <t>908 Devices Inc.</t>
        </is>
      </c>
      <c r="C203" s="140" t="inlineStr">
        <is>
          <t>Mar 2026</t>
        </is>
      </c>
      <c r="D203" s="141" t="n">
        <v>219.7</v>
      </c>
      <c r="E203" s="142" t="n">
        <v>6.07</v>
      </c>
      <c r="F203" s="141" t="n">
        <v>36.2</v>
      </c>
      <c r="G203" s="141" t="n">
        <v>113</v>
      </c>
      <c r="H203" s="141" t="n"/>
      <c r="I203" s="141" t="n">
        <v>113</v>
      </c>
      <c r="J203" s="141" t="n">
        <v>5</v>
      </c>
      <c r="K203" s="143">
        <f>IFERROR(ROUND(G203/J203,1),"")</f>
        <v/>
      </c>
      <c r="L203" s="138">
        <f>IFERROR(IF(K203&lt;4,"🔴 &lt;4Q",IF(K203&lt;8,"🟡 4-8Q","🟢 &gt;8Q")),"—")</f>
        <v/>
      </c>
      <c r="M203" s="140" t="n"/>
      <c r="N203" s="140" t="n"/>
      <c r="O203" s="141">
        <f>IFERROR(D203-G203,"")</f>
        <v/>
      </c>
      <c r="P203" s="144" t="inlineStr">
        <is>
          <t>yFinance / SEC EDGAR, Mar 2026</t>
        </is>
      </c>
    </row>
    <row r="204" ht="22" customHeight="1" s="89">
      <c r="A204" s="118" t="inlineStr">
        <is>
          <t>GENC</t>
        </is>
      </c>
      <c r="B204" s="134" t="inlineStr">
        <is>
          <t>Gencor Industries, Inc.</t>
        </is>
      </c>
      <c r="C204" s="135" t="inlineStr">
        <is>
          <t>Mar 2026</t>
        </is>
      </c>
      <c r="D204" s="119" t="n">
        <v>215</v>
      </c>
      <c r="E204" s="136" t="n">
        <v>14.67</v>
      </c>
      <c r="F204" s="119" t="n">
        <v>12.3</v>
      </c>
      <c r="G204" s="119" t="n">
        <v>147.7</v>
      </c>
      <c r="H204" s="119" t="n"/>
      <c r="I204" s="119" t="n">
        <v>147.7</v>
      </c>
      <c r="J204" s="119" t="n">
        <v>0.2</v>
      </c>
      <c r="K204" s="117">
        <f>IFERROR(ROUND(G204/J204,1),"")</f>
        <v/>
      </c>
      <c r="L204" s="118">
        <f>IFERROR(IF(K204&lt;4,"🔴 &lt;4Q",IF(K204&lt;8,"🟡 4-8Q","🟢 &gt;8Q")),"—")</f>
        <v/>
      </c>
      <c r="M204" s="135" t="n"/>
      <c r="N204" s="135" t="n"/>
      <c r="O204" s="119">
        <f>IFERROR(D204-G204,"")</f>
        <v/>
      </c>
      <c r="P204" s="137" t="inlineStr">
        <is>
          <t>yFinance / SEC EDGAR, Mar 2026</t>
        </is>
      </c>
    </row>
    <row r="205" ht="22" customHeight="1" s="89">
      <c r="A205" s="138" t="inlineStr">
        <is>
          <t>PRLD</t>
        </is>
      </c>
      <c r="B205" s="139" t="inlineStr">
        <is>
          <t>Prelude Therapeutics Incorporated</t>
        </is>
      </c>
      <c r="C205" s="140" t="inlineStr">
        <is>
          <t>Mar 2026</t>
        </is>
      </c>
      <c r="D205" s="141" t="n">
        <v>207.5</v>
      </c>
      <c r="E205" s="142" t="n">
        <v>3.3</v>
      </c>
      <c r="F205" s="141" t="n">
        <v>43.8</v>
      </c>
      <c r="G205" s="141" t="n">
        <v>103.2</v>
      </c>
      <c r="H205" s="141" t="n"/>
      <c r="I205" s="141" t="n">
        <v>103.2</v>
      </c>
      <c r="J205" s="141" t="n">
        <v>22.6</v>
      </c>
      <c r="K205" s="143">
        <f>IFERROR(ROUND(G205/J205,1),"")</f>
        <v/>
      </c>
      <c r="L205" s="138">
        <f>IFERROR(IF(K205&lt;4,"🔴 &lt;4Q",IF(K205&lt;8,"🟡 4-8Q","🟢 &gt;8Q")),"—")</f>
        <v/>
      </c>
      <c r="M205" s="140" t="n"/>
      <c r="N205" s="140" t="n"/>
      <c r="O205" s="141">
        <f>IFERROR(D205-G205,"")</f>
        <v/>
      </c>
      <c r="P205" s="144" t="inlineStr">
        <is>
          <t>yFinance / SEC EDGAR, Mar 2026</t>
        </is>
      </c>
    </row>
    <row r="206" ht="22" customHeight="1" s="89">
      <c r="A206" s="118" t="inlineStr">
        <is>
          <t>TPVG</t>
        </is>
      </c>
      <c r="B206" s="134" t="inlineStr">
        <is>
          <t>TriplePoint Venture Growth BDC Corp.</t>
        </is>
      </c>
      <c r="C206" s="135" t="inlineStr">
        <is>
          <t>Mar 2026</t>
        </is>
      </c>
      <c r="D206" s="119" t="n">
        <v>205.6</v>
      </c>
      <c r="E206" s="136" t="n">
        <v>5.09</v>
      </c>
      <c r="F206" s="119" t="n">
        <v>40.4</v>
      </c>
      <c r="G206" s="119" t="n">
        <v>20.4</v>
      </c>
      <c r="H206" s="119" t="n"/>
      <c r="I206" s="119" t="n">
        <v>20.4</v>
      </c>
      <c r="J206" s="119" t="n">
        <v>41.4</v>
      </c>
      <c r="K206" s="117">
        <f>IFERROR(ROUND(G206/J206,1),"")</f>
        <v/>
      </c>
      <c r="L206" s="118">
        <f>IFERROR(IF(K206&lt;4,"🔴 &lt;4Q",IF(K206&lt;8,"🟡 4-8Q","🟢 &gt;8Q")),"—")</f>
        <v/>
      </c>
      <c r="M206" s="135" t="n"/>
      <c r="N206" s="135" t="n"/>
      <c r="O206" s="119">
        <f>IFERROR(D206-G206,"")</f>
        <v/>
      </c>
      <c r="P206" s="137" t="inlineStr">
        <is>
          <t>yFinance / SEC EDGAR, Mar 2026</t>
        </is>
      </c>
    </row>
    <row r="207" ht="22" customHeight="1" s="89">
      <c r="A207" s="138" t="inlineStr">
        <is>
          <t>ANIK</t>
        </is>
      </c>
      <c r="B207" s="139" t="inlineStr">
        <is>
          <t>Anika Therapeutics, Inc.</t>
        </is>
      </c>
      <c r="C207" s="140" t="inlineStr">
        <is>
          <t>Mar 2026</t>
        </is>
      </c>
      <c r="D207" s="141" t="n">
        <v>204.8</v>
      </c>
      <c r="E207" s="142" t="n">
        <v>14.2</v>
      </c>
      <c r="F207" s="141" t="n">
        <v>13.4</v>
      </c>
      <c r="G207" s="141" t="n">
        <v>57.5</v>
      </c>
      <c r="H207" s="141" t="n"/>
      <c r="I207" s="141" t="n">
        <v>57.5</v>
      </c>
      <c r="J207" s="141" t="n"/>
      <c r="K207" s="143" t="inlineStr">
        <is>
          <t>CF+</t>
        </is>
      </c>
      <c r="L207" s="138" t="inlineStr">
        <is>
          <t>✅ CF+</t>
        </is>
      </c>
      <c r="M207" s="140" t="n"/>
      <c r="N207" s="140" t="n"/>
      <c r="O207" s="141">
        <f>IFERROR(D207-G207,"")</f>
        <v/>
      </c>
      <c r="P207" s="144" t="inlineStr">
        <is>
          <t>yFinance / SEC EDGAR, Mar 2026</t>
        </is>
      </c>
    </row>
    <row r="208" ht="22" customHeight="1" s="89">
      <c r="A208" s="118" t="inlineStr">
        <is>
          <t>GALT</t>
        </is>
      </c>
      <c r="B208" s="134" t="inlineStr">
        <is>
          <t>Galectin Therapeutics Inc.</t>
        </is>
      </c>
      <c r="C208" s="135" t="inlineStr">
        <is>
          <t>Mar 2026</t>
        </is>
      </c>
      <c r="D208" s="119" t="n">
        <v>199.2</v>
      </c>
      <c r="E208" s="136" t="n">
        <v>3.09</v>
      </c>
      <c r="F208" s="119" t="n">
        <v>64.5</v>
      </c>
      <c r="G208" s="119" t="n">
        <v>11.5</v>
      </c>
      <c r="H208" s="119" t="n"/>
      <c r="I208" s="119" t="n">
        <v>11.5</v>
      </c>
      <c r="J208" s="119" t="n">
        <v>5.1</v>
      </c>
      <c r="K208" s="117">
        <f>IFERROR(ROUND(G208/J208,1),"")</f>
        <v/>
      </c>
      <c r="L208" s="118">
        <f>IFERROR(IF(K208&lt;4,"🔴 &lt;4Q",IF(K208&lt;8,"🟡 4-8Q","🟢 &gt;8Q")),"—")</f>
        <v/>
      </c>
      <c r="M208" s="135" t="n"/>
      <c r="N208" s="135" t="n"/>
      <c r="O208" s="119">
        <f>IFERROR(D208-G208,"")</f>
        <v/>
      </c>
      <c r="P208" s="137" t="inlineStr">
        <is>
          <t>yFinance / SEC EDGAR, Mar 2026</t>
        </is>
      </c>
    </row>
    <row r="209" ht="22" customHeight="1" s="89">
      <c r="A209" s="138" t="inlineStr">
        <is>
          <t>ABOS</t>
        </is>
      </c>
      <c r="B209" s="139" t="inlineStr">
        <is>
          <t>Acumen Pharmaceuticals, Inc.</t>
        </is>
      </c>
      <c r="C209" s="140" t="inlineStr">
        <is>
          <t>Mar 2026</t>
        </is>
      </c>
      <c r="D209" s="141" t="n">
        <v>198.1</v>
      </c>
      <c r="E209" s="142" t="n">
        <v>3.27</v>
      </c>
      <c r="F209" s="141" t="n">
        <v>60.6</v>
      </c>
      <c r="G209" s="141" t="n">
        <v>126.6</v>
      </c>
      <c r="H209" s="141" t="n"/>
      <c r="I209" s="141" t="n">
        <v>126.6</v>
      </c>
      <c r="J209" s="141" t="n">
        <v>31.2</v>
      </c>
      <c r="K209" s="143">
        <f>IFERROR(ROUND(G209/J209,1),"")</f>
        <v/>
      </c>
      <c r="L209" s="138">
        <f>IFERROR(IF(K209&lt;4,"🔴 &lt;4Q",IF(K209&lt;8,"🟡 4-8Q","🟢 &gt;8Q")),"—")</f>
        <v/>
      </c>
      <c r="M209" s="140" t="n"/>
      <c r="N209" s="140" t="n"/>
      <c r="O209" s="141">
        <f>IFERROR(D209-G209,"")</f>
        <v/>
      </c>
      <c r="P209" s="144" t="inlineStr">
        <is>
          <t>yFinance / SEC EDGAR, Mar 2026</t>
        </is>
      </c>
    </row>
    <row r="210" ht="22" customHeight="1" s="89">
      <c r="A210" s="118" t="inlineStr">
        <is>
          <t>SABS</t>
        </is>
      </c>
      <c r="B210" s="134" t="inlineStr">
        <is>
          <t>SAB Biotherapeutics, Inc.</t>
        </is>
      </c>
      <c r="C210" s="135" t="inlineStr">
        <is>
          <t>Mar 2026</t>
        </is>
      </c>
      <c r="D210" s="119" t="n">
        <v>197.6</v>
      </c>
      <c r="E210" s="136" t="n">
        <v>4.15</v>
      </c>
      <c r="F210" s="119" t="n">
        <v>47.6</v>
      </c>
      <c r="G210" s="119" t="n">
        <v>96.59999999999999</v>
      </c>
      <c r="H210" s="119" t="n"/>
      <c r="I210" s="119" t="n">
        <v>96.59999999999999</v>
      </c>
      <c r="J210" s="119" t="n">
        <v>10.1</v>
      </c>
      <c r="K210" s="117">
        <f>IFERROR(ROUND(G210/J210,1),"")</f>
        <v/>
      </c>
      <c r="L210" s="118">
        <f>IFERROR(IF(K210&lt;4,"🔴 &lt;4Q",IF(K210&lt;8,"🟡 4-8Q","🟢 &gt;8Q")),"—")</f>
        <v/>
      </c>
      <c r="M210" s="135" t="n"/>
      <c r="N210" s="135" t="n"/>
      <c r="O210" s="119">
        <f>IFERROR(D210-G210,"")</f>
        <v/>
      </c>
      <c r="P210" s="137" t="inlineStr">
        <is>
          <t>yFinance / SEC EDGAR, Mar 2026</t>
        </is>
      </c>
    </row>
    <row r="211" ht="22" customHeight="1" s="89">
      <c r="A211" s="138" t="inlineStr">
        <is>
          <t>MGNX</t>
        </is>
      </c>
      <c r="B211" s="139" t="inlineStr">
        <is>
          <t>MacroGenics, Inc.</t>
        </is>
      </c>
      <c r="C211" s="140" t="inlineStr">
        <is>
          <t>Mar 2026</t>
        </is>
      </c>
      <c r="D211" s="141" t="n">
        <v>190.7</v>
      </c>
      <c r="E211" s="142" t="n">
        <v>3</v>
      </c>
      <c r="F211" s="141" t="n">
        <v>63.6</v>
      </c>
      <c r="G211" s="141" t="n">
        <v>189.9</v>
      </c>
      <c r="H211" s="141" t="n"/>
      <c r="I211" s="141" t="n">
        <v>189.9</v>
      </c>
      <c r="J211" s="141" t="n">
        <v>20.3</v>
      </c>
      <c r="K211" s="143">
        <f>IFERROR(ROUND(G211/J211,1),"")</f>
        <v/>
      </c>
      <c r="L211" s="138">
        <f>IFERROR(IF(K211&lt;4,"🔴 &lt;4Q",IF(K211&lt;8,"🟡 4-8Q","🟢 &gt;8Q")),"—")</f>
        <v/>
      </c>
      <c r="M211" s="140" t="n"/>
      <c r="N211" s="140" t="n"/>
      <c r="O211" s="141">
        <f>IFERROR(D211-G211,"")</f>
        <v/>
      </c>
      <c r="P211" s="144" t="inlineStr">
        <is>
          <t>yFinance / SEC EDGAR, Mar 2026</t>
        </is>
      </c>
    </row>
    <row r="212" ht="22" customHeight="1" s="89">
      <c r="A212" s="118" t="inlineStr">
        <is>
          <t>TNYA</t>
        </is>
      </c>
      <c r="B212" s="134" t="inlineStr">
        <is>
          <t>Tenaya Therapeutics, Inc.</t>
        </is>
      </c>
      <c r="C212" s="135" t="inlineStr">
        <is>
          <t>Mar 2026</t>
        </is>
      </c>
      <c r="D212" s="119" t="n">
        <v>184.5</v>
      </c>
      <c r="E212" s="136" t="n">
        <v>0.85</v>
      </c>
      <c r="F212" s="119" t="n">
        <v>216.5</v>
      </c>
      <c r="G212" s="119" t="n">
        <v>100.5</v>
      </c>
      <c r="H212" s="119" t="n"/>
      <c r="I212" s="119" t="n">
        <v>100.5</v>
      </c>
      <c r="J212" s="119" t="n">
        <v>15.6</v>
      </c>
      <c r="K212" s="117">
        <f>IFERROR(ROUND(G212/J212,1),"")</f>
        <v/>
      </c>
      <c r="L212" s="118">
        <f>IFERROR(IF(K212&lt;4,"🔴 &lt;4Q",IF(K212&lt;8,"🟡 4-8Q","🟢 &gt;8Q")),"—")</f>
        <v/>
      </c>
      <c r="M212" s="135" t="n"/>
      <c r="N212" s="135" t="n"/>
      <c r="O212" s="119">
        <f>IFERROR(D212-G212,"")</f>
        <v/>
      </c>
      <c r="P212" s="137" t="inlineStr">
        <is>
          <t>yFinance / SEC EDGAR, Mar 2026</t>
        </is>
      </c>
    </row>
    <row r="213" ht="22" customHeight="1" s="89">
      <c r="A213" s="138" t="inlineStr">
        <is>
          <t>CRBU</t>
        </is>
      </c>
      <c r="B213" s="139" t="inlineStr">
        <is>
          <t>Caribou Biosciences, Inc.</t>
        </is>
      </c>
      <c r="C213" s="140" t="inlineStr">
        <is>
          <t>Mar 2026</t>
        </is>
      </c>
      <c r="D213" s="141" t="n">
        <v>175.7</v>
      </c>
      <c r="E213" s="142" t="n">
        <v>1.88</v>
      </c>
      <c r="F213" s="141" t="n">
        <v>93.5</v>
      </c>
      <c r="G213" s="141" t="n">
        <v>139.3</v>
      </c>
      <c r="H213" s="141" t="n"/>
      <c r="I213" s="141" t="n">
        <v>139.3</v>
      </c>
      <c r="J213" s="141" t="n">
        <v>26.7</v>
      </c>
      <c r="K213" s="143">
        <f>IFERROR(ROUND(G213/J213,1),"")</f>
        <v/>
      </c>
      <c r="L213" s="138">
        <f>IFERROR(IF(K213&lt;4,"🔴 &lt;4Q",IF(K213&lt;8,"🟡 4-8Q","🟢 &gt;8Q")),"—")</f>
        <v/>
      </c>
      <c r="M213" s="140" t="n"/>
      <c r="N213" s="140" t="n"/>
      <c r="O213" s="141">
        <f>IFERROR(D213-G213,"")</f>
        <v/>
      </c>
      <c r="P213" s="144" t="inlineStr">
        <is>
          <t>yFinance / SEC EDGAR, Mar 2026</t>
        </is>
      </c>
    </row>
    <row r="214" ht="22" customHeight="1" s="89">
      <c r="A214" s="118" t="inlineStr">
        <is>
          <t>ZNTL</t>
        </is>
      </c>
      <c r="B214" s="134" t="inlineStr">
        <is>
          <t>Zentalis Pharmaceuticals, Inc.</t>
        </is>
      </c>
      <c r="C214" s="135" t="inlineStr">
        <is>
          <t>Mar 2026</t>
        </is>
      </c>
      <c r="D214" s="119" t="n">
        <v>175.5</v>
      </c>
      <c r="E214" s="136" t="n">
        <v>2.71</v>
      </c>
      <c r="F214" s="119" t="n">
        <v>64.8</v>
      </c>
      <c r="G214" s="119" t="n">
        <v>280.7</v>
      </c>
      <c r="H214" s="119" t="n"/>
      <c r="I214" s="119" t="n">
        <v>280.7</v>
      </c>
      <c r="J214" s="119" t="n">
        <v>30.8</v>
      </c>
      <c r="K214" s="117">
        <f>IFERROR(ROUND(G214/J214,1),"")</f>
        <v/>
      </c>
      <c r="L214" s="118">
        <f>IFERROR(IF(K214&lt;4,"🔴 &lt;4Q",IF(K214&lt;8,"🟡 4-8Q","🟢 &gt;8Q")),"—")</f>
        <v/>
      </c>
      <c r="M214" s="135" t="n"/>
      <c r="N214" s="135" t="n"/>
      <c r="O214" s="119">
        <f>IFERROR(D214-G214,"")</f>
        <v/>
      </c>
      <c r="P214" s="137" t="inlineStr">
        <is>
          <t>yFinance / SEC EDGAR, Mar 2026</t>
        </is>
      </c>
    </row>
    <row r="215" ht="22" customHeight="1" s="89">
      <c r="A215" s="138" t="inlineStr">
        <is>
          <t>KLRS</t>
        </is>
      </c>
      <c r="B215" s="139" t="inlineStr">
        <is>
          <t>Kalaris Therapeutics, Inc.</t>
        </is>
      </c>
      <c r="C215" s="140" t="inlineStr">
        <is>
          <t>Mar 2026</t>
        </is>
      </c>
      <c r="D215" s="141" t="n">
        <v>162.1</v>
      </c>
      <c r="E215" s="142" t="n">
        <v>8.67</v>
      </c>
      <c r="F215" s="141" t="n">
        <v>18.7</v>
      </c>
      <c r="G215" s="141" t="n">
        <v>77</v>
      </c>
      <c r="H215" s="141" t="n"/>
      <c r="I215" s="141" t="n">
        <v>77</v>
      </c>
      <c r="J215" s="141" t="n">
        <v>11.9</v>
      </c>
      <c r="K215" s="143">
        <f>IFERROR(ROUND(G215/J215,1),"")</f>
        <v/>
      </c>
      <c r="L215" s="138">
        <f>IFERROR(IF(K215&lt;4,"🔴 &lt;4Q",IF(K215&lt;8,"🟡 4-8Q","🟢 &gt;8Q")),"—")</f>
        <v/>
      </c>
      <c r="M215" s="140" t="n"/>
      <c r="N215" s="140" t="n"/>
      <c r="O215" s="141">
        <f>IFERROR(D215-G215,"")</f>
        <v/>
      </c>
      <c r="P215" s="144" t="inlineStr">
        <is>
          <t>yFinance / SEC EDGAR, Mar 2026</t>
        </is>
      </c>
    </row>
    <row r="216" ht="22" customHeight="1" s="89">
      <c r="A216" s="118" t="inlineStr">
        <is>
          <t>NKTX</t>
        </is>
      </c>
      <c r="B216" s="134" t="inlineStr">
        <is>
          <t>Nkarta, Inc.</t>
        </is>
      </c>
      <c r="C216" s="135" t="inlineStr">
        <is>
          <t>Mar 2026</t>
        </is>
      </c>
      <c r="D216" s="119" t="n">
        <v>160.5</v>
      </c>
      <c r="E216" s="136" t="n">
        <v>2.26</v>
      </c>
      <c r="F216" s="119" t="n">
        <v>71</v>
      </c>
      <c r="G216" s="119" t="n">
        <v>282.3</v>
      </c>
      <c r="H216" s="119" t="n"/>
      <c r="I216" s="119" t="n">
        <v>282.3</v>
      </c>
      <c r="J216" s="119" t="n">
        <v>18.7</v>
      </c>
      <c r="K216" s="117">
        <f>IFERROR(ROUND(G216/J216,1),"")</f>
        <v/>
      </c>
      <c r="L216" s="118">
        <f>IFERROR(IF(K216&lt;4,"🔴 &lt;4Q",IF(K216&lt;8,"🟡 4-8Q","🟢 &gt;8Q")),"—")</f>
        <v/>
      </c>
      <c r="M216" s="135" t="n"/>
      <c r="N216" s="135" t="n"/>
      <c r="O216" s="119">
        <f>IFERROR(D216-G216,"")</f>
        <v/>
      </c>
      <c r="P216" s="137" t="inlineStr">
        <is>
          <t>yFinance / SEC EDGAR, Mar 2026</t>
        </is>
      </c>
    </row>
    <row r="217" ht="22" customHeight="1" s="89">
      <c r="A217" s="138" t="inlineStr">
        <is>
          <t>ARTV</t>
        </is>
      </c>
      <c r="B217" s="139" t="inlineStr">
        <is>
          <t>Artiva Biotherapeutics, Inc.</t>
        </is>
      </c>
      <c r="C217" s="140" t="inlineStr">
        <is>
          <t>Mar 2026</t>
        </is>
      </c>
      <c r="D217" s="141" t="n">
        <v>151.7</v>
      </c>
      <c r="E217" s="142" t="n">
        <v>6.18</v>
      </c>
      <c r="F217" s="141" t="n">
        <v>24.5</v>
      </c>
      <c r="G217" s="141" t="n">
        <v>108</v>
      </c>
      <c r="H217" s="141" t="n"/>
      <c r="I217" s="141" t="n">
        <v>108</v>
      </c>
      <c r="J217" s="141" t="n">
        <v>21.1</v>
      </c>
      <c r="K217" s="143">
        <f>IFERROR(ROUND(G217/J217,1),"")</f>
        <v/>
      </c>
      <c r="L217" s="138">
        <f>IFERROR(IF(K217&lt;4,"🔴 &lt;4Q",IF(K217&lt;8,"🟡 4-8Q","🟢 &gt;8Q")),"—")</f>
        <v/>
      </c>
      <c r="M217" s="140" t="n"/>
      <c r="N217" s="140" t="n"/>
      <c r="O217" s="141">
        <f>IFERROR(D217-G217,"")</f>
        <v/>
      </c>
      <c r="P217" s="144" t="inlineStr">
        <is>
          <t>yFinance / SEC EDGAR, Mar 2026</t>
        </is>
      </c>
    </row>
    <row r="218" ht="22" customHeight="1" s="89">
      <c r="A218" s="118" t="inlineStr">
        <is>
          <t>CNTB</t>
        </is>
      </c>
      <c r="B218" s="134" t="inlineStr">
        <is>
          <t>Connect Biopharma Holdings Limited</t>
        </is>
      </c>
      <c r="C218" s="135" t="inlineStr">
        <is>
          <t>Mar 2026</t>
        </is>
      </c>
      <c r="D218" s="119" t="n">
        <v>150.4</v>
      </c>
      <c r="E218" s="136" t="n">
        <v>2.69</v>
      </c>
      <c r="F218" s="119" t="n">
        <v>55.9</v>
      </c>
      <c r="G218" s="119" t="n">
        <v>54.8</v>
      </c>
      <c r="H218" s="119" t="n"/>
      <c r="I218" s="119" t="n">
        <v>54.8</v>
      </c>
      <c r="J218" s="119" t="n">
        <v>15</v>
      </c>
      <c r="K218" s="117">
        <f>IFERROR(ROUND(G218/J218,1),"")</f>
        <v/>
      </c>
      <c r="L218" s="118">
        <f>IFERROR(IF(K218&lt;4,"🔴 &lt;4Q",IF(K218&lt;8,"🟡 4-8Q","🟢 &gt;8Q")),"—")</f>
        <v/>
      </c>
      <c r="M218" s="135" t="n"/>
      <c r="N218" s="135" t="n"/>
      <c r="O218" s="119">
        <f>IFERROR(D218-G218,"")</f>
        <v/>
      </c>
      <c r="P218" s="137" t="inlineStr">
        <is>
          <t>yFinance / SEC EDGAR, Mar 2026</t>
        </is>
      </c>
    </row>
    <row r="219" ht="22" customHeight="1" s="89">
      <c r="A219" s="138" t="inlineStr">
        <is>
          <t>BFIN</t>
        </is>
      </c>
      <c r="B219" s="139" t="inlineStr">
        <is>
          <t>BankFinancial Corporation</t>
        </is>
      </c>
      <c r="C219" s="140" t="inlineStr">
        <is>
          <t>Mar 2026</t>
        </is>
      </c>
      <c r="D219" s="141" t="n">
        <v>149.5</v>
      </c>
      <c r="E219" s="142" t="n">
        <v>12</v>
      </c>
      <c r="F219" s="141" t="n">
        <v>12.5</v>
      </c>
      <c r="G219" s="141" t="n">
        <v>94.59999999999999</v>
      </c>
      <c r="H219" s="141" t="n"/>
      <c r="I219" s="141" t="n">
        <v>94.59999999999999</v>
      </c>
      <c r="J219" s="141" t="n">
        <v>0.1</v>
      </c>
      <c r="K219" s="143">
        <f>IFERROR(ROUND(G219/J219,1),"")</f>
        <v/>
      </c>
      <c r="L219" s="138">
        <f>IFERROR(IF(K219&lt;4,"🔴 &lt;4Q",IF(K219&lt;8,"🟡 4-8Q","🟢 &gt;8Q")),"—")</f>
        <v/>
      </c>
      <c r="M219" s="140" t="n"/>
      <c r="N219" s="140" t="n"/>
      <c r="O219" s="141">
        <f>IFERROR(D219-G219,"")</f>
        <v/>
      </c>
      <c r="P219" s="144" t="inlineStr">
        <is>
          <t>yFinance / SEC EDGAR, Mar 2026</t>
        </is>
      </c>
    </row>
    <row r="220" ht="22" customHeight="1" s="89">
      <c r="A220" s="118" t="inlineStr">
        <is>
          <t>MIST</t>
        </is>
      </c>
      <c r="B220" s="134" t="inlineStr">
        <is>
          <t>Milestone Pharmaceuticals Inc.</t>
        </is>
      </c>
      <c r="C220" s="135" t="inlineStr">
        <is>
          <t>Mar 2026</t>
        </is>
      </c>
      <c r="D220" s="119" t="n">
        <v>144.8</v>
      </c>
      <c r="E220" s="136" t="n">
        <v>1.7</v>
      </c>
      <c r="F220" s="119" t="n">
        <v>85.2</v>
      </c>
      <c r="G220" s="119" t="n">
        <v>82.59999999999999</v>
      </c>
      <c r="H220" s="119" t="n"/>
      <c r="I220" s="119" t="n">
        <v>82.59999999999999</v>
      </c>
      <c r="J220" s="119" t="n">
        <v>11.2</v>
      </c>
      <c r="K220" s="117">
        <f>IFERROR(ROUND(G220/J220,1),"")</f>
        <v/>
      </c>
      <c r="L220" s="118">
        <f>IFERROR(IF(K220&lt;4,"🔴 &lt;4Q",IF(K220&lt;8,"🟡 4-8Q","🟢 &gt;8Q")),"—")</f>
        <v/>
      </c>
      <c r="M220" s="135" t="n"/>
      <c r="N220" s="135" t="n"/>
      <c r="O220" s="119">
        <f>IFERROR(D220-G220,"")</f>
        <v/>
      </c>
      <c r="P220" s="137" t="inlineStr">
        <is>
          <t>yFinance / SEC EDGAR, Mar 2026</t>
        </is>
      </c>
    </row>
    <row r="221" ht="22" customHeight="1" s="89">
      <c r="A221" s="138" t="inlineStr">
        <is>
          <t>KPTI</t>
        </is>
      </c>
      <c r="B221" s="139" t="inlineStr">
        <is>
          <t>Karyopharm Therapeutics Inc.</t>
        </is>
      </c>
      <c r="C221" s="140" t="inlineStr">
        <is>
          <t>Mar 2026</t>
        </is>
      </c>
      <c r="D221" s="141" t="n">
        <v>144</v>
      </c>
      <c r="E221" s="142" t="n">
        <v>7.85</v>
      </c>
      <c r="F221" s="141" t="n">
        <v>18.3</v>
      </c>
      <c r="G221" s="141" t="n">
        <v>63.7</v>
      </c>
      <c r="H221" s="141" t="n"/>
      <c r="I221" s="141" t="n">
        <v>63.7</v>
      </c>
      <c r="J221" s="141" t="n">
        <v>8.800000000000001</v>
      </c>
      <c r="K221" s="143">
        <f>IFERROR(ROUND(G221/J221,1),"")</f>
        <v/>
      </c>
      <c r="L221" s="138">
        <f>IFERROR(IF(K221&lt;4,"🔴 &lt;4Q",IF(K221&lt;8,"🟡 4-8Q","🟢 &gt;8Q")),"—")</f>
        <v/>
      </c>
      <c r="M221" s="140" t="n"/>
      <c r="N221" s="140" t="n"/>
      <c r="O221" s="141">
        <f>IFERROR(D221-G221,"")</f>
        <v/>
      </c>
      <c r="P221" s="144" t="inlineStr">
        <is>
          <t>yFinance / SEC EDGAR, Mar 2026</t>
        </is>
      </c>
    </row>
    <row r="222" ht="22" customHeight="1" s="89">
      <c r="A222" s="118" t="inlineStr">
        <is>
          <t>SGMO</t>
        </is>
      </c>
      <c r="B222" s="134" t="inlineStr">
        <is>
          <t>Sangamo Therapeutics, Inc.</t>
        </is>
      </c>
      <c r="C222" s="135" t="inlineStr">
        <is>
          <t>Mar 2026</t>
        </is>
      </c>
      <c r="D222" s="119" t="n">
        <v>140.6</v>
      </c>
      <c r="E222" s="136" t="n">
        <v>0.38</v>
      </c>
      <c r="F222" s="119" t="n">
        <v>371.7</v>
      </c>
      <c r="G222" s="119" t="n">
        <v>29.6</v>
      </c>
      <c r="H222" s="119" t="n"/>
      <c r="I222" s="119" t="n">
        <v>29.6</v>
      </c>
      <c r="J222" s="119" t="n">
        <v>23.3</v>
      </c>
      <c r="K222" s="117">
        <f>IFERROR(ROUND(G222/J222,1),"")</f>
        <v/>
      </c>
      <c r="L222" s="118">
        <f>IFERROR(IF(K222&lt;4,"🔴 &lt;4Q",IF(K222&lt;8,"🟡 4-8Q","🟢 &gt;8Q")),"—")</f>
        <v/>
      </c>
      <c r="M222" s="135" t="n"/>
      <c r="N222" s="135" t="n"/>
      <c r="O222" s="119">
        <f>IFERROR(D222-G222,"")</f>
        <v/>
      </c>
      <c r="P222" s="137" t="inlineStr">
        <is>
          <t>yFinance / SEC EDGAR, Mar 2026</t>
        </is>
      </c>
    </row>
    <row r="223" ht="22" customHeight="1" s="89">
      <c r="A223" s="138" t="inlineStr">
        <is>
          <t>IPHA</t>
        </is>
      </c>
      <c r="B223" s="139" t="inlineStr">
        <is>
          <t>Innate Pharma S.A.</t>
        </is>
      </c>
      <c r="C223" s="140" t="inlineStr">
        <is>
          <t>Mar 2026</t>
        </is>
      </c>
      <c r="D223" s="141" t="n">
        <v>140.6</v>
      </c>
      <c r="E223" s="142" t="n">
        <v>1.5</v>
      </c>
      <c r="F223" s="141" t="n">
        <v>93.7</v>
      </c>
      <c r="G223" s="141" t="n">
        <v>60</v>
      </c>
      <c r="H223" s="141" t="n"/>
      <c r="I223" s="141" t="n">
        <v>60</v>
      </c>
      <c r="J223" s="141" t="n">
        <v>10.3</v>
      </c>
      <c r="K223" s="143">
        <f>IFERROR(ROUND(G223/J223,1),"")</f>
        <v/>
      </c>
      <c r="L223" s="138">
        <f>IFERROR(IF(K223&lt;4,"🔴 &lt;4Q",IF(K223&lt;8,"🟡 4-8Q","🟢 &gt;8Q")),"—")</f>
        <v/>
      </c>
      <c r="M223" s="140" t="n"/>
      <c r="N223" s="140" t="n"/>
      <c r="O223" s="141">
        <f>IFERROR(D223-G223,"")</f>
        <v/>
      </c>
      <c r="P223" s="144" t="inlineStr">
        <is>
          <t>yFinance / SEC EDGAR, Mar 2026</t>
        </is>
      </c>
    </row>
    <row r="224" ht="22" customHeight="1" s="89">
      <c r="A224" s="118" t="inlineStr">
        <is>
          <t>OVID</t>
        </is>
      </c>
      <c r="B224" s="134" t="inlineStr">
        <is>
          <t>Ovid Therapeutics Inc.</t>
        </is>
      </c>
      <c r="C224" s="135" t="inlineStr">
        <is>
          <t>Mar 2026</t>
        </is>
      </c>
      <c r="D224" s="119" t="n">
        <v>140.3</v>
      </c>
      <c r="E224" s="136" t="n">
        <v>1.97</v>
      </c>
      <c r="F224" s="119" t="n">
        <v>71.2</v>
      </c>
      <c r="G224" s="119" t="n">
        <v>25.6</v>
      </c>
      <c r="H224" s="119" t="n"/>
      <c r="I224" s="119" t="n">
        <v>25.6</v>
      </c>
      <c r="J224" s="119" t="n">
        <v>8.800000000000001</v>
      </c>
      <c r="K224" s="117">
        <f>IFERROR(ROUND(G224/J224,1),"")</f>
        <v/>
      </c>
      <c r="L224" s="118">
        <f>IFERROR(IF(K224&lt;4,"🔴 &lt;4Q",IF(K224&lt;8,"🟡 4-8Q","🟢 &gt;8Q")),"—")</f>
        <v/>
      </c>
      <c r="M224" s="135" t="n"/>
      <c r="N224" s="135" t="n"/>
      <c r="O224" s="119">
        <f>IFERROR(D224-G224,"")</f>
        <v/>
      </c>
      <c r="P224" s="137" t="inlineStr">
        <is>
          <t>yFinance / SEC EDGAR, Mar 2026</t>
        </is>
      </c>
    </row>
    <row r="225" ht="22" customHeight="1" s="89">
      <c r="A225" s="138" t="inlineStr">
        <is>
          <t>DTIL</t>
        </is>
      </c>
      <c r="B225" s="139" t="inlineStr">
        <is>
          <t>Precision BioSciences, Inc.</t>
        </is>
      </c>
      <c r="C225" s="140" t="inlineStr">
        <is>
          <t>Mar 2026</t>
        </is>
      </c>
      <c r="D225" s="141" t="n">
        <v>136.5</v>
      </c>
      <c r="E225" s="142" t="n">
        <v>5.67</v>
      </c>
      <c r="F225" s="141" t="n">
        <v>24.1</v>
      </c>
      <c r="G225" s="141" t="n">
        <v>115.6</v>
      </c>
      <c r="H225" s="141" t="n"/>
      <c r="I225" s="141" t="n">
        <v>115.6</v>
      </c>
      <c r="J225" s="141" t="n">
        <v>17.8</v>
      </c>
      <c r="K225" s="143">
        <f>IFERROR(ROUND(G225/J225,1),"")</f>
        <v/>
      </c>
      <c r="L225" s="138">
        <f>IFERROR(IF(K225&lt;4,"🔴 &lt;4Q",IF(K225&lt;8,"🟡 4-8Q","🟢 &gt;8Q")),"—")</f>
        <v/>
      </c>
      <c r="M225" s="140" t="n"/>
      <c r="N225" s="140" t="n"/>
      <c r="O225" s="141">
        <f>IFERROR(D225-G225,"")</f>
        <v/>
      </c>
      <c r="P225" s="144" t="inlineStr">
        <is>
          <t>yFinance / SEC EDGAR, Mar 2026</t>
        </is>
      </c>
    </row>
    <row r="226" ht="22" customHeight="1" s="89">
      <c r="A226" s="118" t="inlineStr">
        <is>
          <t>FATE</t>
        </is>
      </c>
      <c r="B226" s="134" t="inlineStr">
        <is>
          <t>Fate Therapeutics, Inc.</t>
        </is>
      </c>
      <c r="C226" s="135" t="inlineStr">
        <is>
          <t>Mar 2026</t>
        </is>
      </c>
      <c r="D226" s="119" t="n">
        <v>136</v>
      </c>
      <c r="E226" s="136" t="n">
        <v>1.17</v>
      </c>
      <c r="F226" s="119" t="n">
        <v>116.3</v>
      </c>
      <c r="G226" s="119" t="n">
        <v>203.7</v>
      </c>
      <c r="H226" s="119" t="n"/>
      <c r="I226" s="119" t="n">
        <v>203.7</v>
      </c>
      <c r="J226" s="119" t="n">
        <v>23.8</v>
      </c>
      <c r="K226" s="117">
        <f>IFERROR(ROUND(G226/J226,1),"")</f>
        <v/>
      </c>
      <c r="L226" s="118">
        <f>IFERROR(IF(K226&lt;4,"🔴 &lt;4Q",IF(K226&lt;8,"🟡 4-8Q","🟢 &gt;8Q")),"—")</f>
        <v/>
      </c>
      <c r="M226" s="135" t="n"/>
      <c r="N226" s="135" t="n"/>
      <c r="O226" s="119">
        <f>IFERROR(D226-G226,"")</f>
        <v/>
      </c>
      <c r="P226" s="137" t="inlineStr">
        <is>
          <t>yFinance / SEC EDGAR, Mar 2026</t>
        </is>
      </c>
    </row>
    <row r="227" ht="22" customHeight="1" s="89">
      <c r="A227" s="138" t="inlineStr">
        <is>
          <t>VTVT</t>
        </is>
      </c>
      <c r="B227" s="139" t="inlineStr">
        <is>
          <t>vTv Therapeutics Inc.</t>
        </is>
      </c>
      <c r="C227" s="140" t="inlineStr">
        <is>
          <t>Mar 2026</t>
        </is>
      </c>
      <c r="D227" s="141" t="n">
        <v>131.1</v>
      </c>
      <c r="E227" s="142" t="n">
        <v>33.28</v>
      </c>
      <c r="F227" s="141" t="n">
        <v>3.9</v>
      </c>
      <c r="G227" s="141" t="n">
        <v>88.90000000000001</v>
      </c>
      <c r="H227" s="141" t="n"/>
      <c r="I227" s="141" t="n">
        <v>88.90000000000001</v>
      </c>
      <c r="J227" s="141" t="n">
        <v>5.2</v>
      </c>
      <c r="K227" s="143">
        <f>IFERROR(ROUND(G227/J227,1),"")</f>
        <v/>
      </c>
      <c r="L227" s="138">
        <f>IFERROR(IF(K227&lt;4,"🔴 &lt;4Q",IF(K227&lt;8,"🟡 4-8Q","🟢 &gt;8Q")),"—")</f>
        <v/>
      </c>
      <c r="M227" s="140" t="n"/>
      <c r="N227" s="140" t="n"/>
      <c r="O227" s="141">
        <f>IFERROR(D227-G227,"")</f>
        <v/>
      </c>
      <c r="P227" s="144" t="inlineStr">
        <is>
          <t>yFinance / SEC EDGAR, Mar 2026</t>
        </is>
      </c>
    </row>
    <row r="228" ht="22" customHeight="1" s="89">
      <c r="A228" s="118" t="inlineStr">
        <is>
          <t>CRDF</t>
        </is>
      </c>
      <c r="B228" s="134" t="inlineStr">
        <is>
          <t>Cardiff Oncology, Inc.</t>
        </is>
      </c>
      <c r="C228" s="135" t="inlineStr">
        <is>
          <t>Mar 2026</t>
        </is>
      </c>
      <c r="D228" s="119" t="n">
        <v>127.2</v>
      </c>
      <c r="E228" s="136" t="n">
        <v>1.86</v>
      </c>
      <c r="F228" s="119" t="n">
        <v>68.40000000000001</v>
      </c>
      <c r="G228" s="119" t="n">
        <v>58.3</v>
      </c>
      <c r="H228" s="119" t="n"/>
      <c r="I228" s="119" t="n">
        <v>58.3</v>
      </c>
      <c r="J228" s="119" t="n">
        <v>8.4</v>
      </c>
      <c r="K228" s="117">
        <f>IFERROR(ROUND(G228/J228,1),"")</f>
        <v/>
      </c>
      <c r="L228" s="118">
        <f>IFERROR(IF(K228&lt;4,"🔴 &lt;4Q",IF(K228&lt;8,"🟡 4-8Q","🟢 &gt;8Q")),"—")</f>
        <v/>
      </c>
      <c r="M228" s="135" t="n"/>
      <c r="N228" s="135" t="n"/>
      <c r="O228" s="119">
        <f>IFERROR(D228-G228,"")</f>
        <v/>
      </c>
      <c r="P228" s="137" t="inlineStr">
        <is>
          <t>yFinance / SEC EDGAR, Mar 2026</t>
        </is>
      </c>
    </row>
    <row r="229" ht="22" customHeight="1" s="89">
      <c r="A229" s="138" t="inlineStr">
        <is>
          <t>BDTX</t>
        </is>
      </c>
      <c r="B229" s="139" t="inlineStr">
        <is>
          <t>Black Diamond Therapeutics, Inc.</t>
        </is>
      </c>
      <c r="C229" s="140" t="inlineStr">
        <is>
          <t>Mar 2026</t>
        </is>
      </c>
      <c r="D229" s="141" t="n">
        <v>120.8</v>
      </c>
      <c r="E229" s="142" t="n">
        <v>2.12</v>
      </c>
      <c r="F229" s="141" t="n">
        <v>57</v>
      </c>
      <c r="G229" s="141" t="n">
        <v>135.5</v>
      </c>
      <c r="H229" s="141" t="n"/>
      <c r="I229" s="141" t="n">
        <v>135.5</v>
      </c>
      <c r="J229" s="141" t="n">
        <v>8.5</v>
      </c>
      <c r="K229" s="143">
        <f>IFERROR(ROUND(G229/J229,1),"")</f>
        <v/>
      </c>
      <c r="L229" s="138">
        <f>IFERROR(IF(K229&lt;4,"🔴 &lt;4Q",IF(K229&lt;8,"🟡 4-8Q","🟢 &gt;8Q")),"—")</f>
        <v/>
      </c>
      <c r="M229" s="140" t="n"/>
      <c r="N229" s="140" t="n"/>
      <c r="O229" s="141">
        <f>IFERROR(D229-G229,"")</f>
        <v/>
      </c>
      <c r="P229" s="144" t="inlineStr">
        <is>
          <t>yFinance / SEC EDGAR, Mar 2026</t>
        </is>
      </c>
    </row>
    <row r="230" ht="22" customHeight="1" s="89">
      <c r="A230" s="118" t="inlineStr">
        <is>
          <t>CRDL</t>
        </is>
      </c>
      <c r="B230" s="134" t="inlineStr">
        <is>
          <t>Cardiol Therapeutics Inc.</t>
        </is>
      </c>
      <c r="C230" s="135" t="inlineStr">
        <is>
          <t>Mar 2026</t>
        </is>
      </c>
      <c r="D230" s="119" t="n">
        <v>113.9</v>
      </c>
      <c r="E230" s="136" t="n">
        <v>1.02</v>
      </c>
      <c r="F230" s="119" t="n">
        <v>111.7</v>
      </c>
      <c r="G230" s="119" t="n">
        <v>11.6</v>
      </c>
      <c r="H230" s="119" t="n"/>
      <c r="I230" s="119" t="n">
        <v>11.6</v>
      </c>
      <c r="J230" s="119" t="n">
        <v>5.7</v>
      </c>
      <c r="K230" s="117">
        <f>IFERROR(ROUND(G230/J230,1),"")</f>
        <v/>
      </c>
      <c r="L230" s="118">
        <f>IFERROR(IF(K230&lt;4,"🔴 &lt;4Q",IF(K230&lt;8,"🟡 4-8Q","🟢 &gt;8Q")),"—")</f>
        <v/>
      </c>
      <c r="M230" s="135" t="n"/>
      <c r="N230" s="135" t="n"/>
      <c r="O230" s="119">
        <f>IFERROR(D230-G230,"")</f>
        <v/>
      </c>
      <c r="P230" s="137" t="inlineStr">
        <is>
          <t>yFinance / SEC EDGAR, Mar 2026</t>
        </is>
      </c>
    </row>
    <row r="231" ht="22" customHeight="1" s="89">
      <c r="A231" s="138" t="inlineStr">
        <is>
          <t>AGEN</t>
        </is>
      </c>
      <c r="B231" s="139" t="inlineStr">
        <is>
          <t>Agenus Inc.</t>
        </is>
      </c>
      <c r="C231" s="140" t="inlineStr">
        <is>
          <t>Mar 2026</t>
        </is>
      </c>
      <c r="D231" s="141" t="n">
        <v>112</v>
      </c>
      <c r="E231" s="142" t="n">
        <v>3.1</v>
      </c>
      <c r="F231" s="141" t="n">
        <v>36.1</v>
      </c>
      <c r="G231" s="141" t="n">
        <v>3.5</v>
      </c>
      <c r="H231" s="141" t="n"/>
      <c r="I231" s="141" t="n">
        <v>3.5</v>
      </c>
      <c r="J231" s="141" t="n">
        <v>17.5</v>
      </c>
      <c r="K231" s="143">
        <f>IFERROR(ROUND(G231/J231,1),"")</f>
        <v/>
      </c>
      <c r="L231" s="138">
        <f>IFERROR(IF(K231&lt;4,"🔴 &lt;4Q",IF(K231&lt;8,"🟡 4-8Q","🟢 &gt;8Q")),"—")</f>
        <v/>
      </c>
      <c r="M231" s="140" t="n"/>
      <c r="N231" s="140" t="n"/>
      <c r="O231" s="141">
        <f>IFERROR(D231-G231,"")</f>
        <v/>
      </c>
      <c r="P231" s="144" t="inlineStr">
        <is>
          <t>yFinance / SEC EDGAR, Mar 2026</t>
        </is>
      </c>
    </row>
    <row r="232" ht="22" customHeight="1" s="89">
      <c r="A232" s="118" t="inlineStr">
        <is>
          <t>SEER</t>
        </is>
      </c>
      <c r="B232" s="134" t="inlineStr">
        <is>
          <t>Seer, Inc.</t>
        </is>
      </c>
      <c r="C232" s="135" t="inlineStr">
        <is>
          <t>Mar 2026</t>
        </is>
      </c>
      <c r="D232" s="119" t="n">
        <v>102.1</v>
      </c>
      <c r="E232" s="136" t="n">
        <v>1.81</v>
      </c>
      <c r="F232" s="119" t="n">
        <v>56.4</v>
      </c>
      <c r="G232" s="119" t="n">
        <v>185.9</v>
      </c>
      <c r="H232" s="119" t="n"/>
      <c r="I232" s="119" t="n">
        <v>185.9</v>
      </c>
      <c r="J232" s="119" t="n">
        <v>9.199999999999999</v>
      </c>
      <c r="K232" s="117">
        <f>IFERROR(ROUND(G232/J232,1),"")</f>
        <v/>
      </c>
      <c r="L232" s="118">
        <f>IFERROR(IF(K232&lt;4,"🔴 &lt;4Q",IF(K232&lt;8,"🟡 4-8Q","🟢 &gt;8Q")),"—")</f>
        <v/>
      </c>
      <c r="M232" s="135" t="n"/>
      <c r="N232" s="135" t="n"/>
      <c r="O232" s="119">
        <f>IFERROR(D232-G232,"")</f>
        <v/>
      </c>
      <c r="P232" s="137" t="inlineStr">
        <is>
          <t>yFinance / SEC EDGAR, Mar 2026</t>
        </is>
      </c>
    </row>
    <row r="233" ht="22" customHeight="1" s="89">
      <c r="A233" s="138" t="inlineStr">
        <is>
          <t>FBIO</t>
        </is>
      </c>
      <c r="B233" s="139" t="inlineStr">
        <is>
          <t>Fortress Biotech, Inc.</t>
        </is>
      </c>
      <c r="C233" s="140" t="inlineStr">
        <is>
          <t>Mar 2026</t>
        </is>
      </c>
      <c r="D233" s="141" t="n">
        <v>96.2</v>
      </c>
      <c r="E233" s="142" t="n">
        <v>3.1</v>
      </c>
      <c r="F233" s="141" t="n">
        <v>31</v>
      </c>
      <c r="G233" s="141" t="n">
        <v>86.2</v>
      </c>
      <c r="H233" s="141" t="n"/>
      <c r="I233" s="141" t="n">
        <v>86.2</v>
      </c>
      <c r="J233" s="141" t="n">
        <v>16.8</v>
      </c>
      <c r="K233" s="143">
        <f>IFERROR(ROUND(G233/J233,1),"")</f>
        <v/>
      </c>
      <c r="L233" s="138">
        <f>IFERROR(IF(K233&lt;4,"🔴 &lt;4Q",IF(K233&lt;8,"🟡 4-8Q","🟢 &gt;8Q")),"—")</f>
        <v/>
      </c>
      <c r="M233" s="140" t="n"/>
      <c r="N233" s="140" t="n"/>
      <c r="O233" s="141">
        <f>IFERROR(D233-G233,"")</f>
        <v/>
      </c>
      <c r="P233" s="144" t="inlineStr">
        <is>
          <t>yFinance / SEC EDGAR, Mar 2026</t>
        </is>
      </c>
    </row>
    <row r="234" ht="22" customHeight="1" s="89">
      <c r="A234" s="118" t="inlineStr">
        <is>
          <t>CGTX</t>
        </is>
      </c>
      <c r="B234" s="134" t="inlineStr">
        <is>
          <t>Cognition Therapeutics, Inc.</t>
        </is>
      </c>
      <c r="C234" s="135" t="inlineStr">
        <is>
          <t>Mar 2026</t>
        </is>
      </c>
      <c r="D234" s="119" t="n">
        <v>92.7</v>
      </c>
      <c r="E234" s="136" t="n">
        <v>1.05</v>
      </c>
      <c r="F234" s="119" t="n">
        <v>88.3</v>
      </c>
      <c r="G234" s="119" t="n">
        <v>39.3</v>
      </c>
      <c r="H234" s="119" t="n"/>
      <c r="I234" s="119" t="n">
        <v>39.3</v>
      </c>
      <c r="J234" s="119" t="n">
        <v>5.6</v>
      </c>
      <c r="K234" s="117">
        <f>IFERROR(ROUND(G234/J234,1),"")</f>
        <v/>
      </c>
      <c r="L234" s="118">
        <f>IFERROR(IF(K234&lt;4,"🔴 &lt;4Q",IF(K234&lt;8,"🟡 4-8Q","🟢 &gt;8Q")),"—")</f>
        <v/>
      </c>
      <c r="M234" s="135" t="n"/>
      <c r="N234" s="135" t="n"/>
      <c r="O234" s="119">
        <f>IFERROR(D234-G234,"")</f>
        <v/>
      </c>
      <c r="P234" s="137" t="inlineStr">
        <is>
          <t>yFinance / SEC EDGAR, Mar 2026</t>
        </is>
      </c>
    </row>
    <row r="235" ht="22" customHeight="1" s="89">
      <c r="A235" s="138" t="inlineStr">
        <is>
          <t>OKYO</t>
        </is>
      </c>
      <c r="B235" s="139" t="inlineStr">
        <is>
          <t>OKYO Pharma Limited</t>
        </is>
      </c>
      <c r="C235" s="140" t="inlineStr">
        <is>
          <t>Mar 2026</t>
        </is>
      </c>
      <c r="D235" s="141" t="n">
        <v>85.3</v>
      </c>
      <c r="E235" s="142" t="n">
        <v>1.66</v>
      </c>
      <c r="F235" s="141" t="n">
        <v>51.4</v>
      </c>
      <c r="G235" s="141" t="n">
        <v>4.2</v>
      </c>
      <c r="H235" s="141" t="n"/>
      <c r="I235" s="141" t="n">
        <v>4.2</v>
      </c>
      <c r="J235" s="141" t="n">
        <v>0.8</v>
      </c>
      <c r="K235" s="143">
        <f>IFERROR(ROUND(G235/J235,1),"")</f>
        <v/>
      </c>
      <c r="L235" s="138">
        <f>IFERROR(IF(K235&lt;4,"🔴 &lt;4Q",IF(K235&lt;8,"🟡 4-8Q","🟢 &gt;8Q")),"—")</f>
        <v/>
      </c>
      <c r="M235" s="140" t="n"/>
      <c r="N235" s="140" t="n"/>
      <c r="O235" s="141">
        <f>IFERROR(D235-G235,"")</f>
        <v/>
      </c>
      <c r="P235" s="144" t="inlineStr">
        <is>
          <t>yFinance / SEC EDGAR, Mar 2026</t>
        </is>
      </c>
    </row>
    <row r="236" ht="22" customHeight="1" s="89">
      <c r="A236" s="118" t="inlineStr">
        <is>
          <t>CSBR</t>
        </is>
      </c>
      <c r="B236" s="134" t="inlineStr">
        <is>
          <t>Champions Oncology, Inc.</t>
        </is>
      </c>
      <c r="C236" s="135" t="inlineStr">
        <is>
          <t>Mar 2026</t>
        </is>
      </c>
      <c r="D236" s="119" t="n">
        <v>84.7</v>
      </c>
      <c r="E236" s="136" t="n">
        <v>6.1</v>
      </c>
      <c r="F236" s="119" t="n">
        <v>13.9</v>
      </c>
      <c r="G236" s="119" t="n">
        <v>7.1</v>
      </c>
      <c r="H236" s="119" t="n"/>
      <c r="I236" s="119" t="n">
        <v>7.1</v>
      </c>
      <c r="J236" s="119" t="n">
        <v>0.6</v>
      </c>
      <c r="K236" s="117">
        <f>IFERROR(ROUND(G236/J236,1),"")</f>
        <v/>
      </c>
      <c r="L236" s="118">
        <f>IFERROR(IF(K236&lt;4,"🔴 &lt;4Q",IF(K236&lt;8,"🟡 4-8Q","🟢 &gt;8Q")),"—")</f>
        <v/>
      </c>
      <c r="M236" s="135" t="n"/>
      <c r="N236" s="135" t="n"/>
      <c r="O236" s="119">
        <f>IFERROR(D236-G236,"")</f>
        <v/>
      </c>
      <c r="P236" s="137" t="inlineStr">
        <is>
          <t>yFinance / SEC EDGAR, Mar 2026</t>
        </is>
      </c>
    </row>
    <row r="237" ht="22" customHeight="1" s="89">
      <c r="A237" s="138" t="inlineStr">
        <is>
          <t>ATYR</t>
        </is>
      </c>
      <c r="B237" s="139" t="inlineStr">
        <is>
          <t>aTyr Pharma, Inc.</t>
        </is>
      </c>
      <c r="C237" s="140" t="inlineStr">
        <is>
          <t>Mar 2026</t>
        </is>
      </c>
      <c r="D237" s="141" t="n">
        <v>83.3</v>
      </c>
      <c r="E237" s="142" t="n">
        <v>0.85</v>
      </c>
      <c r="F237" s="141" t="n">
        <v>98</v>
      </c>
      <c r="G237" s="141" t="n">
        <v>78.7</v>
      </c>
      <c r="H237" s="141" t="n"/>
      <c r="I237" s="141" t="n">
        <v>78.7</v>
      </c>
      <c r="J237" s="141" t="n">
        <v>17.2</v>
      </c>
      <c r="K237" s="143">
        <f>IFERROR(ROUND(G237/J237,1),"")</f>
        <v/>
      </c>
      <c r="L237" s="138">
        <f>IFERROR(IF(K237&lt;4,"🔴 &lt;4Q",IF(K237&lt;8,"🟡 4-8Q","🟢 &gt;8Q")),"—")</f>
        <v/>
      </c>
      <c r="M237" s="140" t="n"/>
      <c r="N237" s="140" t="n"/>
      <c r="O237" s="141">
        <f>IFERROR(D237-G237,"")</f>
        <v/>
      </c>
      <c r="P237" s="144" t="inlineStr">
        <is>
          <t>yFinance / SEC EDGAR, Mar 2026</t>
        </is>
      </c>
    </row>
    <row r="238" ht="22" customHeight="1" s="89">
      <c r="A238" s="118" t="inlineStr">
        <is>
          <t>PMVP</t>
        </is>
      </c>
      <c r="B238" s="134" t="inlineStr">
        <is>
          <t>PMV Pharmaceuticals, Inc.</t>
        </is>
      </c>
      <c r="C238" s="135" t="inlineStr">
        <is>
          <t>Mar 2026</t>
        </is>
      </c>
      <c r="D238" s="119" t="n">
        <v>83</v>
      </c>
      <c r="E238" s="136" t="n">
        <v>1.56</v>
      </c>
      <c r="F238" s="119" t="n">
        <v>53.2</v>
      </c>
      <c r="G238" s="119" t="n">
        <v>112.9</v>
      </c>
      <c r="H238" s="119" t="n"/>
      <c r="I238" s="119" t="n">
        <v>112.9</v>
      </c>
      <c r="J238" s="119" t="n">
        <v>19.1</v>
      </c>
      <c r="K238" s="117">
        <f>IFERROR(ROUND(G238/J238,1),"")</f>
        <v/>
      </c>
      <c r="L238" s="118">
        <f>IFERROR(IF(K238&lt;4,"🔴 &lt;4Q",IF(K238&lt;8,"🟡 4-8Q","🟢 &gt;8Q")),"—")</f>
        <v/>
      </c>
      <c r="M238" s="135" t="n"/>
      <c r="N238" s="135" t="n"/>
      <c r="O238" s="119">
        <f>IFERROR(D238-G238,"")</f>
        <v/>
      </c>
      <c r="P238" s="137" t="inlineStr">
        <is>
          <t>yFinance / SEC EDGAR, Mar 2026</t>
        </is>
      </c>
    </row>
    <row r="239" ht="22" customHeight="1" s="89">
      <c r="A239" s="138" t="inlineStr">
        <is>
          <t>PLRX</t>
        </is>
      </c>
      <c r="B239" s="139" t="inlineStr">
        <is>
          <t>Pliant Therapeutics, Inc.</t>
        </is>
      </c>
      <c r="C239" s="140" t="inlineStr">
        <is>
          <t>Mar 2026</t>
        </is>
      </c>
      <c r="D239" s="141" t="n">
        <v>83</v>
      </c>
      <c r="E239" s="142" t="n">
        <v>1.35</v>
      </c>
      <c r="F239" s="141" t="n">
        <v>61.4</v>
      </c>
      <c r="G239" s="141" t="n">
        <v>190.9</v>
      </c>
      <c r="H239" s="141" t="n"/>
      <c r="I239" s="141" t="n">
        <v>190.9</v>
      </c>
      <c r="J239" s="141" t="n">
        <v>30.8</v>
      </c>
      <c r="K239" s="143">
        <f>IFERROR(ROUND(G239/J239,1),"")</f>
        <v/>
      </c>
      <c r="L239" s="138">
        <f>IFERROR(IF(K239&lt;4,"🔴 &lt;4Q",IF(K239&lt;8,"🟡 4-8Q","🟢 &gt;8Q")),"—")</f>
        <v/>
      </c>
      <c r="M239" s="140" t="n"/>
      <c r="N239" s="140" t="n"/>
      <c r="O239" s="141">
        <f>IFERROR(D239-G239,"")</f>
        <v/>
      </c>
      <c r="P239" s="144" t="inlineStr">
        <is>
          <t>yFinance / SEC EDGAR, Mar 2026</t>
        </is>
      </c>
    </row>
    <row r="240" ht="22" customHeight="1" s="89">
      <c r="A240" s="118" t="inlineStr">
        <is>
          <t>PTHS</t>
        </is>
      </c>
      <c r="B240" s="134" t="inlineStr">
        <is>
          <t>Pelthos Therapeutics Inc.</t>
        </is>
      </c>
      <c r="C240" s="135" t="inlineStr">
        <is>
          <t>Mar 2026</t>
        </is>
      </c>
      <c r="D240" s="119" t="n">
        <v>79.3</v>
      </c>
      <c r="E240" s="136" t="n">
        <v>24.5</v>
      </c>
      <c r="F240" s="119" t="n">
        <v>3.2</v>
      </c>
      <c r="G240" s="119" t="n">
        <v>14.2</v>
      </c>
      <c r="H240" s="119" t="n"/>
      <c r="I240" s="119" t="n">
        <v>14.2</v>
      </c>
      <c r="J240" s="119" t="n">
        <v>7.9</v>
      </c>
      <c r="K240" s="117">
        <f>IFERROR(ROUND(G240/J240,1),"")</f>
        <v/>
      </c>
      <c r="L240" s="118">
        <f>IFERROR(IF(K240&lt;4,"🔴 &lt;4Q",IF(K240&lt;8,"🟡 4-8Q","🟢 &gt;8Q")),"—")</f>
        <v/>
      </c>
      <c r="M240" s="135" t="n"/>
      <c r="N240" s="135" t="n"/>
      <c r="O240" s="119">
        <f>IFERROR(D240-G240,"")</f>
        <v/>
      </c>
      <c r="P240" s="137" t="inlineStr">
        <is>
          <t>yFinance / SEC EDGAR, Mar 2026</t>
        </is>
      </c>
    </row>
    <row r="241" ht="22" customHeight="1" s="89">
      <c r="A241" s="138" t="inlineStr">
        <is>
          <t>XBIT</t>
        </is>
      </c>
      <c r="B241" s="139" t="inlineStr">
        <is>
          <t>XBiotech Inc.</t>
        </is>
      </c>
      <c r="C241" s="140" t="inlineStr">
        <is>
          <t>Mar 2026</t>
        </is>
      </c>
      <c r="D241" s="141" t="n">
        <v>70.40000000000001</v>
      </c>
      <c r="E241" s="142" t="n">
        <v>2.31</v>
      </c>
      <c r="F241" s="141" t="n">
        <v>30.5</v>
      </c>
      <c r="G241" s="141" t="n">
        <v>147.4</v>
      </c>
      <c r="H241" s="141" t="n"/>
      <c r="I241" s="141" t="n">
        <v>147.4</v>
      </c>
      <c r="J241" s="141" t="n">
        <v>5.1</v>
      </c>
      <c r="K241" s="143">
        <f>IFERROR(ROUND(G241/J241,1),"")</f>
        <v/>
      </c>
      <c r="L241" s="138">
        <f>IFERROR(IF(K241&lt;4,"🔴 &lt;4Q",IF(K241&lt;8,"🟡 4-8Q","🟢 &gt;8Q")),"—")</f>
        <v/>
      </c>
      <c r="M241" s="140" t="n"/>
      <c r="N241" s="140" t="n"/>
      <c r="O241" s="141">
        <f>IFERROR(D241-G241,"")</f>
        <v/>
      </c>
      <c r="P241" s="144" t="inlineStr">
        <is>
          <t>yFinance / SEC EDGAR, Mar 2026</t>
        </is>
      </c>
    </row>
    <row r="242" ht="22" customHeight="1" s="89">
      <c r="A242" s="118" t="inlineStr">
        <is>
          <t>BYSI</t>
        </is>
      </c>
      <c r="B242" s="134" t="inlineStr">
        <is>
          <t>BeyondSpring Inc.</t>
        </is>
      </c>
      <c r="C242" s="135" t="inlineStr">
        <is>
          <t>Mar 2026</t>
        </is>
      </c>
      <c r="D242" s="119" t="n">
        <v>69.5</v>
      </c>
      <c r="E242" s="136" t="n">
        <v>1.69</v>
      </c>
      <c r="F242" s="119" t="n">
        <v>41.1</v>
      </c>
      <c r="G242" s="119" t="n">
        <v>12.6</v>
      </c>
      <c r="H242" s="119" t="n"/>
      <c r="I242" s="119" t="n">
        <v>12.6</v>
      </c>
      <c r="J242" s="119" t="n">
        <v>5</v>
      </c>
      <c r="K242" s="117">
        <f>IFERROR(ROUND(G242/J242,1),"")</f>
        <v/>
      </c>
      <c r="L242" s="118">
        <f>IFERROR(IF(K242&lt;4,"🔴 &lt;4Q",IF(K242&lt;8,"🟡 4-8Q","🟢 &gt;8Q")),"—")</f>
        <v/>
      </c>
      <c r="M242" s="135" t="n"/>
      <c r="N242" s="135" t="n"/>
      <c r="O242" s="119">
        <f>IFERROR(D242-G242,"")</f>
        <v/>
      </c>
      <c r="P242" s="137" t="inlineStr">
        <is>
          <t>yFinance / SEC EDGAR, Mar 2026</t>
        </is>
      </c>
    </row>
    <row r="243" ht="22" customHeight="1" s="89">
      <c r="A243" s="138" t="inlineStr">
        <is>
          <t>LUNG</t>
        </is>
      </c>
      <c r="B243" s="139" t="inlineStr">
        <is>
          <t>Pulmonx Corporation</t>
        </is>
      </c>
      <c r="C243" s="140" t="inlineStr">
        <is>
          <t>Mar 2026</t>
        </is>
      </c>
      <c r="D243" s="141" t="n">
        <v>69.3</v>
      </c>
      <c r="E243" s="142" t="n">
        <v>1.68</v>
      </c>
      <c r="F243" s="141" t="n">
        <v>41.2</v>
      </c>
      <c r="G243" s="141" t="n">
        <v>69.8</v>
      </c>
      <c r="H243" s="141" t="n"/>
      <c r="I243" s="141" t="n">
        <v>69.8</v>
      </c>
      <c r="J243" s="141" t="n">
        <v>6</v>
      </c>
      <c r="K243" s="143">
        <f>IFERROR(ROUND(G243/J243,1),"")</f>
        <v/>
      </c>
      <c r="L243" s="138">
        <f>IFERROR(IF(K243&lt;4,"🔴 &lt;4Q",IF(K243&lt;8,"🟡 4-8Q","🟢 &gt;8Q")),"—")</f>
        <v/>
      </c>
      <c r="M243" s="140" t="n"/>
      <c r="N243" s="140" t="n"/>
      <c r="O243" s="141">
        <f>IFERROR(D243-G243,"")</f>
        <v/>
      </c>
      <c r="P243" s="144" t="inlineStr">
        <is>
          <t>yFinance / SEC EDGAR, Mar 2026</t>
        </is>
      </c>
    </row>
    <row r="244" ht="22" customHeight="1" s="89">
      <c r="A244" s="118" t="inlineStr">
        <is>
          <t>INDO</t>
        </is>
      </c>
      <c r="B244" s="134" t="inlineStr">
        <is>
          <t>Indonesia Energy Corporation Limited</t>
        </is>
      </c>
      <c r="C244" s="135" t="inlineStr">
        <is>
          <t>Mar 2026</t>
        </is>
      </c>
      <c r="D244" s="119" t="n">
        <v>68.8</v>
      </c>
      <c r="E244" s="136" t="n">
        <v>4.59</v>
      </c>
      <c r="F244" s="119" t="n">
        <v>15</v>
      </c>
      <c r="G244" s="119" t="n">
        <v>8.6</v>
      </c>
      <c r="H244" s="119" t="n"/>
      <c r="I244" s="119" t="n">
        <v>8.6</v>
      </c>
      <c r="J244" s="119" t="n">
        <v>1.2</v>
      </c>
      <c r="K244" s="117">
        <f>IFERROR(ROUND(G244/J244,1),"")</f>
        <v/>
      </c>
      <c r="L244" s="118">
        <f>IFERROR(IF(K244&lt;4,"🔴 &lt;4Q",IF(K244&lt;8,"🟡 4-8Q","🟢 &gt;8Q")),"—")</f>
        <v/>
      </c>
      <c r="M244" s="135" t="n"/>
      <c r="N244" s="135" t="n"/>
      <c r="O244" s="119">
        <f>IFERROR(D244-G244,"")</f>
        <v/>
      </c>
      <c r="P244" s="137" t="inlineStr">
        <is>
          <t>yFinance / SEC EDGAR, Mar 2026</t>
        </is>
      </c>
    </row>
    <row r="245" ht="22" customHeight="1" s="89">
      <c r="A245" s="138" t="inlineStr">
        <is>
          <t>ANVS</t>
        </is>
      </c>
      <c r="B245" s="139" t="inlineStr">
        <is>
          <t>Annovis Bio, Inc.</t>
        </is>
      </c>
      <c r="C245" s="140" t="inlineStr">
        <is>
          <t>Mar 2026</t>
        </is>
      </c>
      <c r="D245" s="141" t="n">
        <v>66.8</v>
      </c>
      <c r="E245" s="142" t="n">
        <v>2.52</v>
      </c>
      <c r="F245" s="141" t="n">
        <v>26.5</v>
      </c>
      <c r="G245" s="141" t="n">
        <v>15.3</v>
      </c>
      <c r="H245" s="141" t="n"/>
      <c r="I245" s="141" t="n">
        <v>15.3</v>
      </c>
      <c r="J245" s="141" t="n">
        <v>4.3</v>
      </c>
      <c r="K245" s="143">
        <f>IFERROR(ROUND(G245/J245,1),"")</f>
        <v/>
      </c>
      <c r="L245" s="138">
        <f>IFERROR(IF(K245&lt;4,"🔴 &lt;4Q",IF(K245&lt;8,"🟡 4-8Q","🟢 &gt;8Q")),"—")</f>
        <v/>
      </c>
      <c r="M245" s="140" t="n"/>
      <c r="N245" s="140" t="n"/>
      <c r="O245" s="141">
        <f>IFERROR(D245-G245,"")</f>
        <v/>
      </c>
      <c r="P245" s="144" t="inlineStr">
        <is>
          <t>yFinance / SEC EDGAR, Mar 2026</t>
        </is>
      </c>
    </row>
    <row r="246" ht="22" customHeight="1" s="89">
      <c r="A246" s="118" t="inlineStr">
        <is>
          <t>IMA</t>
        </is>
      </c>
      <c r="B246" s="134" t="inlineStr">
        <is>
          <t>ImageneBio, Inc.</t>
        </is>
      </c>
      <c r="C246" s="135" t="inlineStr">
        <is>
          <t>Mar 2026</t>
        </is>
      </c>
      <c r="D246" s="119" t="n">
        <v>66.09999999999999</v>
      </c>
      <c r="E246" s="136" t="n">
        <v>5.91</v>
      </c>
      <c r="F246" s="119" t="n">
        <v>11.2</v>
      </c>
      <c r="G246" s="119" t="n">
        <v>135.3</v>
      </c>
      <c r="H246" s="119" t="n"/>
      <c r="I246" s="119" t="n">
        <v>135.3</v>
      </c>
      <c r="J246" s="119" t="n">
        <v>3.5</v>
      </c>
      <c r="K246" s="117">
        <f>IFERROR(ROUND(G246/J246,1),"")</f>
        <v/>
      </c>
      <c r="L246" s="118">
        <f>IFERROR(IF(K246&lt;4,"🔴 &lt;4Q",IF(K246&lt;8,"🟡 4-8Q","🟢 &gt;8Q")),"—")</f>
        <v/>
      </c>
      <c r="M246" s="135" t="n"/>
      <c r="N246" s="135" t="n"/>
      <c r="O246" s="119">
        <f>IFERROR(D246-G246,"")</f>
        <v/>
      </c>
      <c r="P246" s="137" t="inlineStr">
        <is>
          <t>yFinance / SEC EDGAR, Mar 2026</t>
        </is>
      </c>
    </row>
    <row r="247" ht="22" customHeight="1" s="89">
      <c r="A247" s="138" t="inlineStr">
        <is>
          <t>TCRX</t>
        </is>
      </c>
      <c r="B247" s="139" t="inlineStr">
        <is>
          <t>TScan Therapeutics, Inc.</t>
        </is>
      </c>
      <c r="C247" s="140" t="inlineStr">
        <is>
          <t>Mar 2026</t>
        </is>
      </c>
      <c r="D247" s="141" t="n">
        <v>59.7</v>
      </c>
      <c r="E247" s="142" t="n">
        <v>1.05</v>
      </c>
      <c r="F247" s="141" t="n">
        <v>52.6</v>
      </c>
      <c r="G247" s="141" t="n">
        <v>152.4</v>
      </c>
      <c r="H247" s="141" t="n"/>
      <c r="I247" s="141" t="n">
        <v>152.4</v>
      </c>
      <c r="J247" s="141" t="n">
        <v>32.2</v>
      </c>
      <c r="K247" s="143">
        <f>IFERROR(ROUND(G247/J247,1),"")</f>
        <v/>
      </c>
      <c r="L247" s="138">
        <f>IFERROR(IF(K247&lt;4,"🔴 &lt;4Q",IF(K247&lt;8,"🟡 4-8Q","🟢 &gt;8Q")),"—")</f>
        <v/>
      </c>
      <c r="M247" s="140" t="n"/>
      <c r="N247" s="140" t="n"/>
      <c r="O247" s="141">
        <f>IFERROR(D247-G247,"")</f>
        <v/>
      </c>
      <c r="P247" s="144" t="inlineStr">
        <is>
          <t>yFinance / SEC EDGAR, Mar 2026</t>
        </is>
      </c>
    </row>
    <row r="248" ht="22" customHeight="1" s="89">
      <c r="A248" s="118" t="inlineStr">
        <is>
          <t>MGX</t>
        </is>
      </c>
      <c r="B248" s="134" t="inlineStr">
        <is>
          <t>Metagenomi Therapeutics, Inc.</t>
        </is>
      </c>
      <c r="C248" s="135" t="inlineStr">
        <is>
          <t>Mar 2026</t>
        </is>
      </c>
      <c r="D248" s="119" t="n">
        <v>54.8</v>
      </c>
      <c r="E248" s="136" t="n">
        <v>1.46</v>
      </c>
      <c r="F248" s="119" t="n">
        <v>37.5</v>
      </c>
      <c r="G248" s="119" t="n">
        <v>160.8</v>
      </c>
      <c r="H248" s="119" t="n"/>
      <c r="I248" s="119" t="n">
        <v>160.8</v>
      </c>
      <c r="J248" s="119" t="n">
        <v>21.3</v>
      </c>
      <c r="K248" s="117">
        <f>IFERROR(ROUND(G248/J248,1),"")</f>
        <v/>
      </c>
      <c r="L248" s="118">
        <f>IFERROR(IF(K248&lt;4,"🔴 &lt;4Q",IF(K248&lt;8,"🟡 4-8Q","🟢 &gt;8Q")),"—")</f>
        <v/>
      </c>
      <c r="M248" s="135" t="n"/>
      <c r="N248" s="135" t="n"/>
      <c r="O248" s="119">
        <f>IFERROR(D248-G248,"")</f>
        <v/>
      </c>
      <c r="P248" s="137" t="inlineStr">
        <is>
          <t>yFinance / SEC EDGAR, Mar 2026</t>
        </is>
      </c>
    </row>
    <row r="249" ht="22" customHeight="1" s="89">
      <c r="A249" s="138" t="inlineStr">
        <is>
          <t>ESLA</t>
        </is>
      </c>
      <c r="B249" s="139" t="inlineStr">
        <is>
          <t>Estrella Immunopharma, Inc.</t>
        </is>
      </c>
      <c r="C249" s="140" t="inlineStr">
        <is>
          <t>Mar 2026</t>
        </is>
      </c>
      <c r="D249" s="141" t="n">
        <v>53</v>
      </c>
      <c r="E249" s="142" t="n">
        <v>1.26</v>
      </c>
      <c r="F249" s="141" t="n">
        <v>42</v>
      </c>
      <c r="G249" s="141" t="n">
        <v>1.6</v>
      </c>
      <c r="H249" s="141" t="n"/>
      <c r="I249" s="141" t="n">
        <v>1.6</v>
      </c>
      <c r="J249" s="141" t="n">
        <v>0.6</v>
      </c>
      <c r="K249" s="143">
        <f>IFERROR(ROUND(G249/J249,1),"")</f>
        <v/>
      </c>
      <c r="L249" s="138">
        <f>IFERROR(IF(K249&lt;4,"🔴 &lt;4Q",IF(K249&lt;8,"🟡 4-8Q","🟢 &gt;8Q")),"—")</f>
        <v/>
      </c>
      <c r="M249" s="140" t="n"/>
      <c r="N249" s="140" t="n"/>
      <c r="O249" s="141">
        <f>IFERROR(D249-G249,"")</f>
        <v/>
      </c>
      <c r="P249" s="144" t="inlineStr">
        <is>
          <t>yFinance / SEC EDGAR, Mar 2026</t>
        </is>
      </c>
    </row>
    <row r="250" ht="22" customHeight="1" s="89">
      <c r="A250" s="118" t="inlineStr">
        <is>
          <t>PRTS</t>
        </is>
      </c>
      <c r="B250" s="134" t="inlineStr">
        <is>
          <t>CarParts.com, Inc.</t>
        </is>
      </c>
      <c r="C250" s="135" t="inlineStr">
        <is>
          <t>Mar 2026</t>
        </is>
      </c>
      <c r="D250" s="119" t="n">
        <v>52.1</v>
      </c>
      <c r="E250" s="136" t="n">
        <v>0.79</v>
      </c>
      <c r="F250" s="119" t="n">
        <v>66</v>
      </c>
      <c r="G250" s="119" t="n">
        <v>25.8</v>
      </c>
      <c r="H250" s="119" t="n"/>
      <c r="I250" s="119" t="n">
        <v>25.8</v>
      </c>
      <c r="J250" s="119" t="n">
        <v>16</v>
      </c>
      <c r="K250" s="117">
        <f>IFERROR(ROUND(G250/J250,1),"")</f>
        <v/>
      </c>
      <c r="L250" s="118">
        <f>IFERROR(IF(K250&lt;4,"🔴 &lt;4Q",IF(K250&lt;8,"🟡 4-8Q","🟢 &gt;8Q")),"—")</f>
        <v/>
      </c>
      <c r="M250" s="135" t="n"/>
      <c r="N250" s="135" t="n"/>
      <c r="O250" s="119">
        <f>IFERROR(D250-G250,"")</f>
        <v/>
      </c>
      <c r="P250" s="137" t="inlineStr">
        <is>
          <t>yFinance / SEC EDGAR, Mar 2026</t>
        </is>
      </c>
    </row>
    <row r="251" ht="22" customHeight="1" s="89">
      <c r="A251" s="138" t="inlineStr">
        <is>
          <t>ATRA</t>
        </is>
      </c>
      <c r="B251" s="139" t="inlineStr">
        <is>
          <t>Atara Biotherapeutics, Inc.</t>
        </is>
      </c>
      <c r="C251" s="140" t="inlineStr">
        <is>
          <t>Mar 2026</t>
        </is>
      </c>
      <c r="D251" s="141" t="n">
        <v>46.9</v>
      </c>
      <c r="E251" s="142" t="n">
        <v>6.5</v>
      </c>
      <c r="F251" s="141" t="n">
        <v>7.2</v>
      </c>
      <c r="G251" s="141" t="n">
        <v>13.7</v>
      </c>
      <c r="H251" s="141" t="n"/>
      <c r="I251" s="141" t="n">
        <v>13.7</v>
      </c>
      <c r="J251" s="141" t="n">
        <v>8.6</v>
      </c>
      <c r="K251" s="143">
        <f>IFERROR(ROUND(G251/J251,1),"")</f>
        <v/>
      </c>
      <c r="L251" s="138">
        <f>IFERROR(IF(K251&lt;4,"🔴 &lt;4Q",IF(K251&lt;8,"🟡 4-8Q","🟢 &gt;8Q")),"—")</f>
        <v/>
      </c>
      <c r="M251" s="140" t="n"/>
      <c r="N251" s="140" t="n"/>
      <c r="O251" s="141">
        <f>IFERROR(D251-G251,"")</f>
        <v/>
      </c>
      <c r="P251" s="144" t="inlineStr">
        <is>
          <t>yFinance / SEC EDGAR, Mar 2026</t>
        </is>
      </c>
    </row>
    <row r="252" ht="22" customHeight="1" s="89">
      <c r="A252" s="118" t="inlineStr">
        <is>
          <t>ALGS</t>
        </is>
      </c>
      <c r="B252" s="134" t="inlineStr">
        <is>
          <t>Aligos Therapeutics, Inc.</t>
        </is>
      </c>
      <c r="C252" s="135" t="inlineStr">
        <is>
          <t>Mar 2026</t>
        </is>
      </c>
      <c r="D252" s="119" t="n">
        <v>46.6</v>
      </c>
      <c r="E252" s="136" t="n">
        <v>7.57</v>
      </c>
      <c r="F252" s="119" t="n">
        <v>5.4</v>
      </c>
      <c r="G252" s="119" t="n">
        <v>77.8</v>
      </c>
      <c r="H252" s="119" t="n"/>
      <c r="I252" s="119" t="n">
        <v>77.8</v>
      </c>
      <c r="J252" s="119" t="n">
        <v>19.9</v>
      </c>
      <c r="K252" s="117">
        <f>IFERROR(ROUND(G252/J252,1),"")</f>
        <v/>
      </c>
      <c r="L252" s="118">
        <f>IFERROR(IF(K252&lt;4,"🔴 &lt;4Q",IF(K252&lt;8,"🟡 4-8Q","🟢 &gt;8Q")),"—")</f>
        <v/>
      </c>
      <c r="M252" s="135" t="n"/>
      <c r="N252" s="135" t="n"/>
      <c r="O252" s="119">
        <f>IFERROR(D252-G252,"")</f>
        <v/>
      </c>
      <c r="P252" s="137" t="inlineStr">
        <is>
          <t>yFinance / SEC EDGAR, Mar 2026</t>
        </is>
      </c>
    </row>
    <row r="253" ht="22" customHeight="1" s="89">
      <c r="A253" s="138" t="inlineStr">
        <is>
          <t>INKT</t>
        </is>
      </c>
      <c r="B253" s="139" t="inlineStr">
        <is>
          <t>MiNK Therapeutics, Inc.</t>
        </is>
      </c>
      <c r="C253" s="140" t="inlineStr">
        <is>
          <t>Mar 2026</t>
        </is>
      </c>
      <c r="D253" s="141" t="n">
        <v>45.7</v>
      </c>
      <c r="E253" s="142" t="n">
        <v>9.74</v>
      </c>
      <c r="F253" s="141" t="n">
        <v>4.7</v>
      </c>
      <c r="G253" s="141" t="n">
        <v>14.3</v>
      </c>
      <c r="H253" s="141" t="n"/>
      <c r="I253" s="141" t="n">
        <v>14.3</v>
      </c>
      <c r="J253" s="141" t="n">
        <v>1.3</v>
      </c>
      <c r="K253" s="143">
        <f>IFERROR(ROUND(G253/J253,1),"")</f>
        <v/>
      </c>
      <c r="L253" s="138">
        <f>IFERROR(IF(K253&lt;4,"🔴 &lt;4Q",IF(K253&lt;8,"🟡 4-8Q","🟢 &gt;8Q")),"—")</f>
        <v/>
      </c>
      <c r="M253" s="140" t="n"/>
      <c r="N253" s="140" t="n"/>
      <c r="O253" s="141">
        <f>IFERROR(D253-G253,"")</f>
        <v/>
      </c>
      <c r="P253" s="144" t="inlineStr">
        <is>
          <t>yFinance / SEC EDGAR, Mar 2026</t>
        </is>
      </c>
    </row>
    <row r="254" ht="22" customHeight="1" s="89">
      <c r="A254" s="118" t="inlineStr">
        <is>
          <t>EVAX</t>
        </is>
      </c>
      <c r="B254" s="134" t="inlineStr">
        <is>
          <t>Evaxion A/S</t>
        </is>
      </c>
      <c r="C254" s="135" t="inlineStr">
        <is>
          <t>Mar 2026</t>
        </is>
      </c>
      <c r="D254" s="119" t="n">
        <v>35.5</v>
      </c>
      <c r="E254" s="136" t="n">
        <v>4.26</v>
      </c>
      <c r="F254" s="119" t="n">
        <v>8.300000000000001</v>
      </c>
      <c r="G254" s="119" t="n">
        <v>23.2</v>
      </c>
      <c r="H254" s="119" t="n"/>
      <c r="I254" s="119" t="n">
        <v>23.2</v>
      </c>
      <c r="J254" s="119" t="n">
        <v>1.7</v>
      </c>
      <c r="K254" s="117">
        <f>IFERROR(ROUND(G254/J254,1),"")</f>
        <v/>
      </c>
      <c r="L254" s="118">
        <f>IFERROR(IF(K254&lt;4,"🔴 &lt;4Q",IF(K254&lt;8,"🟡 4-8Q","🟢 &gt;8Q")),"—")</f>
        <v/>
      </c>
      <c r="M254" s="135" t="n"/>
      <c r="N254" s="135" t="n"/>
      <c r="O254" s="119">
        <f>IFERROR(D254-G254,"")</f>
        <v/>
      </c>
      <c r="P254" s="137" t="inlineStr">
        <is>
          <t>yFinance / SEC EDGAR, Mar 2026</t>
        </is>
      </c>
    </row>
    <row r="255" ht="22" customHeight="1" s="89">
      <c r="A255" s="138" t="inlineStr">
        <is>
          <t>RMTI</t>
        </is>
      </c>
      <c r="B255" s="139" t="inlineStr">
        <is>
          <t>Rockwell Medical, Inc.</t>
        </is>
      </c>
      <c r="C255" s="140" t="inlineStr">
        <is>
          <t>Mar 2026</t>
        </is>
      </c>
      <c r="D255" s="141" t="n">
        <v>35.3</v>
      </c>
      <c r="E255" s="142" t="n">
        <v>0.9</v>
      </c>
      <c r="F255" s="141" t="n">
        <v>39.4</v>
      </c>
      <c r="G255" s="141" t="n">
        <v>23.7</v>
      </c>
      <c r="H255" s="141" t="n"/>
      <c r="I255" s="141" t="n">
        <v>23.7</v>
      </c>
      <c r="J255" s="141" t="n">
        <v>0.5</v>
      </c>
      <c r="K255" s="143">
        <f>IFERROR(ROUND(G255/J255,1),"")</f>
        <v/>
      </c>
      <c r="L255" s="138">
        <f>IFERROR(IF(K255&lt;4,"🔴 &lt;4Q",IF(K255&lt;8,"🟡 4-8Q","🟢 &gt;8Q")),"—")</f>
        <v/>
      </c>
      <c r="M255" s="140" t="n"/>
      <c r="N255" s="140" t="n"/>
      <c r="O255" s="141">
        <f>IFERROR(D255-G255,"")</f>
        <v/>
      </c>
      <c r="P255" s="144" t="inlineStr">
        <is>
          <t>yFinance / SEC EDGAR, Mar 2026</t>
        </is>
      </c>
    </row>
    <row r="256" ht="22" customHeight="1" s="89">
      <c r="A256" s="118" t="inlineStr">
        <is>
          <t>PDSB</t>
        </is>
      </c>
      <c r="B256" s="134" t="inlineStr">
        <is>
          <t>PDS Biotechnology Corporation</t>
        </is>
      </c>
      <c r="C256" s="135" t="inlineStr">
        <is>
          <t>Mar 2026</t>
        </is>
      </c>
      <c r="D256" s="119" t="n">
        <v>34.5</v>
      </c>
      <c r="E256" s="136" t="n">
        <v>0.63</v>
      </c>
      <c r="F256" s="119" t="n">
        <v>54.7</v>
      </c>
      <c r="G256" s="119" t="n">
        <v>26.2</v>
      </c>
      <c r="H256" s="119" t="n"/>
      <c r="I256" s="119" t="n">
        <v>26.2</v>
      </c>
      <c r="J256" s="119" t="n">
        <v>7.5</v>
      </c>
      <c r="K256" s="117">
        <f>IFERROR(ROUND(G256/J256,1),"")</f>
        <v/>
      </c>
      <c r="L256" s="118">
        <f>IFERROR(IF(K256&lt;4,"🔴 &lt;4Q",IF(K256&lt;8,"🟡 4-8Q","🟢 &gt;8Q")),"—")</f>
        <v/>
      </c>
      <c r="M256" s="135" t="n"/>
      <c r="N256" s="135" t="n"/>
      <c r="O256" s="119">
        <f>IFERROR(D256-G256,"")</f>
        <v/>
      </c>
      <c r="P256" s="137" t="inlineStr">
        <is>
          <t>yFinance / SEC EDGAR, Mar 2026</t>
        </is>
      </c>
    </row>
    <row r="257" ht="22" customHeight="1" s="89">
      <c r="A257" s="138" t="inlineStr">
        <is>
          <t>JSPR</t>
        </is>
      </c>
      <c r="B257" s="139" t="inlineStr">
        <is>
          <t>Jasper Therapeutics, Inc.</t>
        </is>
      </c>
      <c r="C257" s="140" t="inlineStr">
        <is>
          <t>Mar 2026</t>
        </is>
      </c>
      <c r="D257" s="141" t="n">
        <v>34.1</v>
      </c>
      <c r="E257" s="142" t="n">
        <v>1.22</v>
      </c>
      <c r="F257" s="141" t="n">
        <v>28</v>
      </c>
      <c r="G257" s="141" t="n">
        <v>50.9</v>
      </c>
      <c r="H257" s="141" t="n"/>
      <c r="I257" s="141" t="n">
        <v>50.9</v>
      </c>
      <c r="J257" s="141" t="n">
        <v>16.2</v>
      </c>
      <c r="K257" s="143">
        <f>IFERROR(ROUND(G257/J257,1),"")</f>
        <v/>
      </c>
      <c r="L257" s="138">
        <f>IFERROR(IF(K257&lt;4,"🔴 &lt;4Q",IF(K257&lt;8,"🟡 4-8Q","🟢 &gt;8Q")),"—")</f>
        <v/>
      </c>
      <c r="M257" s="140" t="n"/>
      <c r="N257" s="140" t="n"/>
      <c r="O257" s="141">
        <f>IFERROR(D257-G257,"")</f>
        <v/>
      </c>
      <c r="P257" s="144" t="inlineStr">
        <is>
          <t>yFinance / SEC EDGAR, Mar 2026</t>
        </is>
      </c>
    </row>
    <row r="258" ht="22" customHeight="1" s="89">
      <c r="A258" s="118" t="inlineStr">
        <is>
          <t>OTLK</t>
        </is>
      </c>
      <c r="B258" s="134" t="inlineStr">
        <is>
          <t>Outlook Therapeutics, Inc.</t>
        </is>
      </c>
      <c r="C258" s="135" t="inlineStr">
        <is>
          <t>Mar 2026</t>
        </is>
      </c>
      <c r="D258" s="119" t="n">
        <v>32.7</v>
      </c>
      <c r="E258" s="136" t="n">
        <v>0.39</v>
      </c>
      <c r="F258" s="119" t="n">
        <v>83.09999999999999</v>
      </c>
      <c r="G258" s="119" t="n">
        <v>8.699999999999999</v>
      </c>
      <c r="H258" s="119" t="n"/>
      <c r="I258" s="119" t="n">
        <v>8.699999999999999</v>
      </c>
      <c r="J258" s="119" t="n">
        <v>13.7</v>
      </c>
      <c r="K258" s="117">
        <f>IFERROR(ROUND(G258/J258,1),"")</f>
        <v/>
      </c>
      <c r="L258" s="118">
        <f>IFERROR(IF(K258&lt;4,"🔴 &lt;4Q",IF(K258&lt;8,"🟡 4-8Q","🟢 &gt;8Q")),"—")</f>
        <v/>
      </c>
      <c r="M258" s="135" t="n"/>
      <c r="N258" s="135" t="n"/>
      <c r="O258" s="119">
        <f>IFERROR(D258-G258,"")</f>
        <v/>
      </c>
      <c r="P258" s="137" t="inlineStr">
        <is>
          <t>yFinance / SEC EDGAR, Mar 2026</t>
        </is>
      </c>
    </row>
    <row r="259" ht="22" customHeight="1" s="89">
      <c r="A259" s="138" t="inlineStr">
        <is>
          <t>BTAI</t>
        </is>
      </c>
      <c r="B259" s="139" t="inlineStr">
        <is>
          <t>BioXcel Therapeutics, Inc.</t>
        </is>
      </c>
      <c r="C259" s="140" t="inlineStr">
        <is>
          <t>Mar 2026</t>
        </is>
      </c>
      <c r="D259" s="141" t="n">
        <v>32.6</v>
      </c>
      <c r="E259" s="142" t="n">
        <v>1.49</v>
      </c>
      <c r="F259" s="141" t="n">
        <v>21.9</v>
      </c>
      <c r="G259" s="141" t="n">
        <v>36.2</v>
      </c>
      <c r="H259" s="141" t="n"/>
      <c r="I259" s="141" t="n">
        <v>36.2</v>
      </c>
      <c r="J259" s="141" t="n">
        <v>15.7</v>
      </c>
      <c r="K259" s="143">
        <f>IFERROR(ROUND(G259/J259,1),"")</f>
        <v/>
      </c>
      <c r="L259" s="138">
        <f>IFERROR(IF(K259&lt;4,"🔴 &lt;4Q",IF(K259&lt;8,"🟡 4-8Q","🟢 &gt;8Q")),"—")</f>
        <v/>
      </c>
      <c r="M259" s="140" t="n"/>
      <c r="N259" s="140" t="n"/>
      <c r="O259" s="141">
        <f>IFERROR(D259-G259,"")</f>
        <v/>
      </c>
      <c r="P259" s="144" t="inlineStr">
        <is>
          <t>yFinance / SEC EDGAR, Mar 2026</t>
        </is>
      </c>
    </row>
    <row r="260" ht="22" customHeight="1" s="89">
      <c r="A260" s="118" t="inlineStr">
        <is>
          <t>TPST</t>
        </is>
      </c>
      <c r="B260" s="134" t="inlineStr">
        <is>
          <t>Tempest Therapeutics, Inc.</t>
        </is>
      </c>
      <c r="C260" s="135" t="inlineStr">
        <is>
          <t>Mar 2026</t>
        </is>
      </c>
      <c r="D260" s="119" t="n">
        <v>30.5</v>
      </c>
      <c r="E260" s="136" t="n">
        <v>2.26</v>
      </c>
      <c r="F260" s="119" t="n">
        <v>13.5</v>
      </c>
      <c r="G260" s="119" t="n">
        <v>7.5</v>
      </c>
      <c r="H260" s="119" t="n"/>
      <c r="I260" s="119" t="n">
        <v>7.5</v>
      </c>
      <c r="J260" s="119" t="n">
        <v>7.6</v>
      </c>
      <c r="K260" s="117">
        <f>IFERROR(ROUND(G260/J260,1),"")</f>
        <v/>
      </c>
      <c r="L260" s="118">
        <f>IFERROR(IF(K260&lt;4,"🔴 &lt;4Q",IF(K260&lt;8,"🟡 4-8Q","🟢 &gt;8Q")),"—")</f>
        <v/>
      </c>
      <c r="M260" s="135" t="n"/>
      <c r="N260" s="135" t="n"/>
      <c r="O260" s="119">
        <f>IFERROR(D260-G260,"")</f>
        <v/>
      </c>
      <c r="P260" s="137" t="inlineStr">
        <is>
          <t>yFinance / SEC EDGAR, Mar 2026</t>
        </is>
      </c>
    </row>
  </sheetData>
  <autoFilter ref="A5:P260"/>
  <mergeCells count="3">
    <mergeCell ref="A4:P4"/>
    <mergeCell ref="A3:P3"/>
    <mergeCell ref="A2:P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FFC9A84C"/>
    <outlinePr summaryBelow="1" summaryRight="1"/>
    <pageSetUpPr fitToPage="0"/>
  </sheetPr>
  <dimension ref="A2:L19"/>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outlineLevelCol="0"/>
  <cols>
    <col width="10" customWidth="1" style="88" min="1" max="1"/>
    <col width="24" customWidth="1" style="88" min="2" max="2"/>
    <col width="18" customWidth="1" style="88" min="3" max="3"/>
    <col width="22" customWidth="1" style="88" min="4" max="4"/>
    <col width="18" customWidth="1" style="88" min="5" max="5"/>
    <col width="14" customWidth="1" style="88" min="6" max="7"/>
    <col width="26" customWidth="1" style="88" min="8" max="9"/>
    <col width="12" customWidth="1" style="88" min="10" max="10"/>
    <col width="13" customWidth="1" style="88" min="11" max="11"/>
    <col width="20" customWidth="1" style="88" min="12" max="12"/>
  </cols>
  <sheetData>
    <row r="1" ht="7.5" customHeight="1" s="89"/>
    <row r="2" ht="36" customHeight="1" s="89">
      <c r="A2" s="145" t="inlineStr">
        <is>
          <t>CATALYST CALENDAR  —  Near-Term Binary Events</t>
        </is>
      </c>
    </row>
    <row r="3" ht="18" customHeight="1" s="89">
      <c r="A3" s="146" t="inlineStr">
        <is>
          <t>Source: Company guidance, ClinicalTrials.gov, FDA PDUFA calendar, BioPharmCatalyst. Sort by Expected Date.</t>
        </is>
      </c>
    </row>
    <row r="4" ht="6" customHeight="1" s="89">
      <c r="A4" s="147" t="n"/>
    </row>
    <row r="5" ht="39.75" customHeight="1" s="89">
      <c r="A5" s="148" t="inlineStr">
        <is>
          <t>Ticker</t>
        </is>
      </c>
      <c r="B5" s="148" t="inlineStr">
        <is>
          <t>Company</t>
        </is>
      </c>
      <c r="C5" s="148" t="inlineStr">
        <is>
          <t>Asset</t>
        </is>
      </c>
      <c r="D5" s="148" t="inlineStr">
        <is>
          <t>Indication</t>
        </is>
      </c>
      <c r="E5" s="148" t="inlineStr">
        <is>
          <t>Event Type</t>
        </is>
      </c>
      <c r="F5" s="148" t="inlineStr">
        <is>
          <t>Expected Date</t>
        </is>
      </c>
      <c r="G5" s="148" t="inlineStr">
        <is>
          <t>Timing Certainty</t>
        </is>
      </c>
      <c r="H5" s="148" t="inlineStr">
        <is>
          <t>Bull Case</t>
        </is>
      </c>
      <c r="I5" s="148" t="inlineStr">
        <is>
          <t>Bear Case</t>
        </is>
      </c>
      <c r="J5" s="148" t="inlineStr">
        <is>
          <t>Mkt Cap ($M)</t>
        </is>
      </c>
      <c r="K5" s="148" t="inlineStr">
        <is>
          <t>Watch Priority</t>
        </is>
      </c>
      <c r="L5" s="148" t="inlineStr">
        <is>
          <t>Source</t>
        </is>
      </c>
    </row>
    <row r="6" ht="42" customHeight="1" s="89">
      <c r="A6" s="149" t="inlineStr">
        <is>
          <t>PTGX</t>
        </is>
      </c>
      <c r="B6" s="128" t="inlineStr">
        <is>
          <t>Protagonist Therapeutics</t>
        </is>
      </c>
      <c r="C6" s="127" t="inlineStr">
        <is>
          <t>Rusfertide</t>
        </is>
      </c>
      <c r="D6" s="128" t="inlineStr">
        <is>
          <t>Polycythaemia Vera</t>
        </is>
      </c>
      <c r="E6" s="127" t="inlineStr">
        <is>
          <t>NDA Submission</t>
        </is>
      </c>
      <c r="F6" s="127" t="inlineStr">
        <is>
          <t>Q2 2025</t>
        </is>
      </c>
      <c r="G6" s="150" t="inlineStr">
        <is>
          <t>High</t>
        </is>
      </c>
      <c r="H6" s="128" t="inlineStr">
        <is>
          <t>NDA accepted; PDUFA ~Q4 2025; high PoS given J&amp;J partnership</t>
        </is>
      </c>
      <c r="I6" s="128" t="inlineStr">
        <is>
          <t>Manufacturing delay; FDA RfI</t>
        </is>
      </c>
      <c r="J6" s="151" t="n">
        <v>2200</v>
      </c>
      <c r="K6" s="127" t="inlineStr">
        <is>
          <t>⭐⭐⭐⭐⭐</t>
        </is>
      </c>
      <c r="L6" s="127" t="inlineStr">
        <is>
          <t>Company guidance / J&amp;J co-dev</t>
        </is>
      </c>
    </row>
    <row r="7" ht="42" customHeight="1" s="89">
      <c r="A7" s="152" t="inlineStr">
        <is>
          <t>RVMD</t>
        </is>
      </c>
      <c r="B7" s="153" t="inlineStr">
        <is>
          <t>Revolution Medicines</t>
        </is>
      </c>
      <c r="C7" s="154" t="inlineStr">
        <is>
          <t>RMC-6236</t>
        </is>
      </c>
      <c r="D7" s="153" t="inlineStr">
        <is>
          <t>PDAC / CRC</t>
        </is>
      </c>
      <c r="E7" s="154" t="inlineStr">
        <is>
          <t>Phase 2 Data</t>
        </is>
      </c>
      <c r="F7" s="154" t="inlineStr">
        <is>
          <t>H2 2025</t>
        </is>
      </c>
      <c r="G7" s="150" t="inlineStr">
        <is>
          <t>High</t>
        </is>
      </c>
      <c r="H7" s="153" t="inlineStr">
        <is>
          <t>Monotherapy ORR &gt;30% in PDAC would be paradigm-shifting</t>
        </is>
      </c>
      <c r="I7" s="153" t="inlineStr">
        <is>
          <t>Single agent activity disappoints; combo still works</t>
        </is>
      </c>
      <c r="J7" s="155" t="n">
        <v>5200</v>
      </c>
      <c r="K7" s="154" t="inlineStr">
        <is>
          <t>⭐⭐⭐⭐⭐</t>
        </is>
      </c>
      <c r="L7" s="154" t="inlineStr">
        <is>
          <t>Company guidance / ClinTrials</t>
        </is>
      </c>
    </row>
    <row r="8" ht="42" customHeight="1" s="89">
      <c r="A8" s="149" t="inlineStr">
        <is>
          <t>VRTX</t>
        </is>
      </c>
      <c r="B8" s="128" t="inlineStr">
        <is>
          <t>Vertex Pharmaceuticals</t>
        </is>
      </c>
      <c r="C8" s="127" t="inlineStr">
        <is>
          <t>Vanzacaftor Triple</t>
        </is>
      </c>
      <c r="D8" s="128" t="inlineStr">
        <is>
          <t>Cystic Fibrosis</t>
        </is>
      </c>
      <c r="E8" s="127" t="inlineStr">
        <is>
          <t>NDA Filing</t>
        </is>
      </c>
      <c r="F8" s="127" t="inlineStr">
        <is>
          <t>H1 2025</t>
        </is>
      </c>
      <c r="G8" s="150" t="inlineStr">
        <is>
          <t>High</t>
        </is>
      </c>
      <c r="H8" s="128" t="inlineStr">
        <is>
          <t>Superior FEV1 improvement; once-daily dosing; broader eligibility</t>
        </is>
      </c>
      <c r="I8" s="128" t="inlineStr">
        <is>
          <t>Marginal improvement over Trikafta; label narrower</t>
        </is>
      </c>
      <c r="J8" s="151" t="n">
        <v>108000</v>
      </c>
      <c r="K8" s="127" t="inlineStr">
        <is>
          <t>⭐⭐⭐⭐</t>
        </is>
      </c>
      <c r="L8" s="127" t="inlineStr">
        <is>
          <t>Company guidance</t>
        </is>
      </c>
    </row>
    <row r="9" ht="42" customHeight="1" s="89">
      <c r="A9" s="152" t="inlineStr">
        <is>
          <t>PRAX</t>
        </is>
      </c>
      <c r="B9" s="153" t="inlineStr">
        <is>
          <t>Praxis Precision Medicine</t>
        </is>
      </c>
      <c r="C9" s="154" t="inlineStr">
        <is>
          <t>Ulixacaltamide</t>
        </is>
      </c>
      <c r="D9" s="153" t="inlineStr">
        <is>
          <t>Essential Tremor</t>
        </is>
      </c>
      <c r="E9" s="154" t="inlineStr">
        <is>
          <t>Phase 3 Readout</t>
        </is>
      </c>
      <c r="F9" s="154" t="inlineStr">
        <is>
          <t>H2 2025</t>
        </is>
      </c>
      <c r="G9" s="156" t="inlineStr">
        <is>
          <t>Medium</t>
        </is>
      </c>
      <c r="H9" s="153" t="inlineStr">
        <is>
          <t>P3 replicates P2 60% responder rate; clean CNS profile</t>
        </is>
      </c>
      <c r="I9" s="153" t="inlineStr">
        <is>
          <t>P3 misses primary endpoint; competitive data from SAGE-324</t>
        </is>
      </c>
      <c r="J9" s="155" t="n">
        <v>1600</v>
      </c>
      <c r="K9" s="154" t="inlineStr">
        <is>
          <t>⭐⭐⭐⭐</t>
        </is>
      </c>
      <c r="L9" s="154" t="inlineStr">
        <is>
          <t>ClinTrials NCT05687188</t>
        </is>
      </c>
    </row>
    <row r="10" ht="42" customHeight="1" s="89">
      <c r="A10" s="149" t="inlineStr">
        <is>
          <t>ARWR</t>
        </is>
      </c>
      <c r="B10" s="128" t="inlineStr">
        <is>
          <t>Arrowhead Pharma</t>
        </is>
      </c>
      <c r="C10" s="127" t="inlineStr">
        <is>
          <t>Plozasiran</t>
        </is>
      </c>
      <c r="D10" s="128" t="inlineStr">
        <is>
          <t>Severe Hypertriglyceridaemia</t>
        </is>
      </c>
      <c r="E10" s="127" t="inlineStr">
        <is>
          <t>Phase 3 Readout</t>
        </is>
      </c>
      <c r="F10" s="127" t="inlineStr">
        <is>
          <t>H2 2025</t>
        </is>
      </c>
      <c r="G10" s="150" t="inlineStr">
        <is>
          <t>High</t>
        </is>
      </c>
      <c r="H10" s="128" t="inlineStr">
        <is>
          <t>50%+ TG reduction; CV outcomes program potential; partner interest</t>
        </is>
      </c>
      <c r="I10" s="128" t="inlineStr">
        <is>
          <t>Efficacy met but safety signal (hepatic); narrow label</t>
        </is>
      </c>
      <c r="J10" s="151" t="n">
        <v>2100</v>
      </c>
      <c r="K10" s="127" t="inlineStr">
        <is>
          <t>⭐⭐⭐⭐</t>
        </is>
      </c>
      <c r="L10" s="127" t="inlineStr">
        <is>
          <t>Company guidance / GSK co-dev</t>
        </is>
      </c>
    </row>
    <row r="11" ht="42" customHeight="1" s="89">
      <c r="A11" s="152" t="inlineStr">
        <is>
          <t>BEAM</t>
        </is>
      </c>
      <c r="B11" s="153" t="inlineStr">
        <is>
          <t>Beam Therapeutics</t>
        </is>
      </c>
      <c r="C11" s="154" t="inlineStr">
        <is>
          <t>BEAM-101</t>
        </is>
      </c>
      <c r="D11" s="153" t="inlineStr">
        <is>
          <t>Sickle Cell Disease</t>
        </is>
      </c>
      <c r="E11" s="154" t="inlineStr">
        <is>
          <t>Phase 1/2 Data</t>
        </is>
      </c>
      <c r="F11" s="154" t="inlineStr">
        <is>
          <t>Q2 2025</t>
        </is>
      </c>
      <c r="G11" s="156" t="inlineStr">
        <is>
          <t>Medium</t>
        </is>
      </c>
      <c r="H11" s="153" t="inlineStr">
        <is>
          <t>HbF induction &gt;30% with durable edits; differentiated from ex-vivo</t>
        </is>
      </c>
      <c r="I11" s="153" t="inlineStr">
        <is>
          <t>Lower engraftment than CRISPR competitors; safety flags</t>
        </is>
      </c>
      <c r="J11" s="155" t="n">
        <v>1700</v>
      </c>
      <c r="K11" s="154" t="inlineStr">
        <is>
          <t>⭐⭐⭐⭐</t>
        </is>
      </c>
      <c r="L11" s="154" t="inlineStr">
        <is>
          <t>ClinTrials NCT05456880</t>
        </is>
      </c>
    </row>
    <row r="12" ht="42" customHeight="1" s="89">
      <c r="A12" s="149" t="inlineStr">
        <is>
          <t>MRNA</t>
        </is>
      </c>
      <c r="B12" s="128" t="inlineStr">
        <is>
          <t>Moderna</t>
        </is>
      </c>
      <c r="C12" s="127" t="inlineStr">
        <is>
          <t>mRNA-4157 (V940)</t>
        </is>
      </c>
      <c r="D12" s="128" t="inlineStr">
        <is>
          <t>Melanoma / NSCLC</t>
        </is>
      </c>
      <c r="E12" s="127" t="inlineStr">
        <is>
          <t>Phase 3 Readout</t>
        </is>
      </c>
      <c r="F12" s="127" t="inlineStr">
        <is>
          <t>H2 2025</t>
        </is>
      </c>
      <c r="G12" s="150" t="inlineStr">
        <is>
          <t>High</t>
        </is>
      </c>
      <c r="H12" s="128" t="inlineStr">
        <is>
          <t>Personalised neoantigen vaccine + pembro; KEYNOTE-942 follow-up</t>
        </is>
      </c>
      <c r="I12" s="128" t="inlineStr">
        <is>
          <t>Phase 3 fails to replicate Phase 2b; NSCLC data weaker</t>
        </is>
      </c>
      <c r="J12" s="151" t="n">
        <v>45000</v>
      </c>
      <c r="K12" s="127" t="inlineStr">
        <is>
          <t>⭐⭐⭐⭐</t>
        </is>
      </c>
      <c r="L12" s="127" t="inlineStr">
        <is>
          <t>KEYNOTE-942 ext. / Merck</t>
        </is>
      </c>
    </row>
    <row r="13" ht="42" customHeight="1" s="89">
      <c r="A13" s="152" t="inlineStr">
        <is>
          <t>IMVT</t>
        </is>
      </c>
      <c r="B13" s="153" t="inlineStr">
        <is>
          <t>Immunovant</t>
        </is>
      </c>
      <c r="C13" s="154" t="inlineStr">
        <is>
          <t>Batoclimab</t>
        </is>
      </c>
      <c r="D13" s="153" t="inlineStr">
        <is>
          <t>Thyroid Eye Disease</t>
        </is>
      </c>
      <c r="E13" s="154" t="inlineStr">
        <is>
          <t>Phase 3 Readout</t>
        </is>
      </c>
      <c r="F13" s="154" t="inlineStr">
        <is>
          <t>Q1 2026</t>
        </is>
      </c>
      <c r="G13" s="150" t="inlineStr">
        <is>
          <t>High</t>
        </is>
      </c>
      <c r="H13" s="153" t="inlineStr">
        <is>
          <t>Anti-FcRn mechanism validated; label &gt;TED (MG, CIDP, ITP)</t>
        </is>
      </c>
      <c r="I13" s="153" t="inlineStr">
        <is>
          <t>Non-inferior but not superior to existing anti-FcRn agents</t>
        </is>
      </c>
      <c r="J13" s="155" t="n">
        <v>2400</v>
      </c>
      <c r="K13" s="154" t="inlineStr">
        <is>
          <t>⭐⭐⭐</t>
        </is>
      </c>
      <c r="L13" s="154" t="inlineStr">
        <is>
          <t>Company guidance</t>
        </is>
      </c>
    </row>
    <row r="14" ht="42" customHeight="1" s="89">
      <c r="A14" s="149" t="inlineStr">
        <is>
          <t>SRTX</t>
        </is>
      </c>
      <c r="B14" s="128" t="inlineStr">
        <is>
          <t>Spruce Biosciences</t>
        </is>
      </c>
      <c r="C14" s="127" t="inlineStr">
        <is>
          <t>Tildacerfont</t>
        </is>
      </c>
      <c r="D14" s="128" t="inlineStr">
        <is>
          <t>Congenital Adrenal Hyperp.</t>
        </is>
      </c>
      <c r="E14" s="127" t="inlineStr">
        <is>
          <t>Phase 3 Readout</t>
        </is>
      </c>
      <c r="F14" s="127" t="inlineStr">
        <is>
          <t>Q3 2025</t>
        </is>
      </c>
      <c r="G14" s="156" t="inlineStr">
        <is>
          <t>Medium</t>
        </is>
      </c>
      <c r="H14" s="128" t="inlineStr">
        <is>
          <t>CRF1 blocker reduces androgen levels; orphan; no competition</t>
        </is>
      </c>
      <c r="I14" s="128" t="inlineStr">
        <is>
          <t>Phase 2 did not meet all secondary endpoints; small n</t>
        </is>
      </c>
      <c r="J14" s="151" t="n">
        <v>320</v>
      </c>
      <c r="K14" s="127" t="inlineStr">
        <is>
          <t>⭐⭐⭐</t>
        </is>
      </c>
      <c r="L14" s="127" t="inlineStr">
        <is>
          <t>ClinTrials NCT05237453</t>
        </is>
      </c>
    </row>
    <row r="15" ht="42" customHeight="1" s="89">
      <c r="A15" s="152" t="inlineStr">
        <is>
          <t>ESPR</t>
        </is>
      </c>
      <c r="B15" s="153" t="inlineStr">
        <is>
          <t>Esperion Therapeutics</t>
        </is>
      </c>
      <c r="C15" s="154" t="inlineStr">
        <is>
          <t>Nexletol/Nexlizet</t>
        </is>
      </c>
      <c r="D15" s="153" t="inlineStr">
        <is>
          <t>LDL-C / ASCVD</t>
        </is>
      </c>
      <c r="E15" s="154" t="inlineStr">
        <is>
          <t>CVOT Data (CLEAR-2)</t>
        </is>
      </c>
      <c r="F15" s="154" t="inlineStr">
        <is>
          <t>H1 2025</t>
        </is>
      </c>
      <c r="G15" s="150" t="inlineStr">
        <is>
          <t>High</t>
        </is>
      </c>
      <c r="H15" s="153" t="inlineStr">
        <is>
          <t>CV outcomes trial data confirms mortality benefit; label expansion</t>
        </is>
      </c>
      <c r="I15" s="153" t="inlineStr">
        <is>
          <t>Marginal benefit vs statins; reimbursement challenges remain</t>
        </is>
      </c>
      <c r="J15" s="155" t="n">
        <v>420</v>
      </c>
      <c r="K15" s="154" t="inlineStr">
        <is>
          <t>⭐⭐⭐</t>
        </is>
      </c>
      <c r="L15" s="154" t="inlineStr">
        <is>
          <t>Company guidance / CLEAR trial</t>
        </is>
      </c>
    </row>
    <row r="16" ht="42" customHeight="1" s="89">
      <c r="A16" s="149" t="inlineStr">
        <is>
          <t>KYMR</t>
        </is>
      </c>
      <c r="B16" s="128" t="inlineStr">
        <is>
          <t>Kymera Therapeutics</t>
        </is>
      </c>
      <c r="C16" s="127" t="inlineStr">
        <is>
          <t>KT-413</t>
        </is>
      </c>
      <c r="D16" s="128" t="inlineStr">
        <is>
          <t>MYD88-mutant DLBCL</t>
        </is>
      </c>
      <c r="E16" s="127" t="inlineStr">
        <is>
          <t>Phase 1 Data</t>
        </is>
      </c>
      <c r="F16" s="127" t="inlineStr">
        <is>
          <t>H1 2025</t>
        </is>
      </c>
      <c r="G16" s="156" t="inlineStr">
        <is>
          <t>Medium</t>
        </is>
      </c>
      <c r="H16" s="128" t="inlineStr">
        <is>
          <t>IRAK4 degrader shows ORR &gt;30% in R/R DLBCL; Sanofi validates</t>
        </is>
      </c>
      <c r="I16" s="128" t="inlineStr">
        <is>
          <t>Phase 1 ORR disappoints; degrader selectivity issues</t>
        </is>
      </c>
      <c r="J16" s="151" t="n">
        <v>1200</v>
      </c>
      <c r="K16" s="127" t="inlineStr">
        <is>
          <t>⭐⭐⭐</t>
        </is>
      </c>
      <c r="L16" s="127" t="inlineStr">
        <is>
          <t>AACR/ASH abstract / Sanofi</t>
        </is>
      </c>
    </row>
    <row r="17" ht="42" customHeight="1" s="89">
      <c r="A17" s="152" t="inlineStr">
        <is>
          <t>TERN</t>
        </is>
      </c>
      <c r="B17" s="153" t="inlineStr">
        <is>
          <t>Terns Pharmaceuticals</t>
        </is>
      </c>
      <c r="C17" s="154" t="inlineStr">
        <is>
          <t>TERN-501</t>
        </is>
      </c>
      <c r="D17" s="153" t="inlineStr">
        <is>
          <t>MASH / Obesity</t>
        </is>
      </c>
      <c r="E17" s="154" t="inlineStr">
        <is>
          <t>Phase 2 Data</t>
        </is>
      </c>
      <c r="F17" s="154" t="inlineStr">
        <is>
          <t>H2 2025</t>
        </is>
      </c>
      <c r="G17" s="156" t="inlineStr">
        <is>
          <t>Medium</t>
        </is>
      </c>
      <c r="H17" s="153" t="inlineStr">
        <is>
          <t>THR-beta + GLP-1 combo; positioned in growing obesity market</t>
        </is>
      </c>
      <c r="I17" s="153" t="inlineStr">
        <is>
          <t>Monotherapy underwhelms; MASH space crowded post-Rezdiffra</t>
        </is>
      </c>
      <c r="J17" s="155" t="n">
        <v>480</v>
      </c>
      <c r="K17" s="154" t="inlineStr">
        <is>
          <t>⭐⭐</t>
        </is>
      </c>
      <c r="L17" s="154" t="inlineStr">
        <is>
          <t>Company guidance</t>
        </is>
      </c>
    </row>
    <row r="18" ht="42" customHeight="1" s="89">
      <c r="A18" s="149" t="inlineStr">
        <is>
          <t>CVKD</t>
        </is>
      </c>
      <c r="B18" s="128" t="inlineStr">
        <is>
          <t>Cardiol Therapeutics</t>
        </is>
      </c>
      <c r="C18" s="127" t="inlineStr">
        <is>
          <t>CardiolRx</t>
        </is>
      </c>
      <c r="D18" s="128" t="inlineStr">
        <is>
          <t>Acute Myocarditis</t>
        </is>
      </c>
      <c r="E18" s="127" t="inlineStr">
        <is>
          <t>Phase 2 Readout</t>
        </is>
      </c>
      <c r="F18" s="127" t="inlineStr">
        <is>
          <t>2025</t>
        </is>
      </c>
      <c r="G18" s="157" t="inlineStr">
        <is>
          <t>Low</t>
        </is>
      </c>
      <c r="H18" s="128" t="inlineStr">
        <is>
          <t>First-in-disease treatment; large unmet need; micro-cap asymmetry</t>
        </is>
      </c>
      <c r="I18" s="128" t="inlineStr">
        <is>
          <t>Small trial; FDA may require Phase 3; micro-cap liquidity</t>
        </is>
      </c>
      <c r="J18" s="151" t="n">
        <v>85</v>
      </c>
      <c r="K18" s="127" t="inlineStr">
        <is>
          <t>⭐⭐</t>
        </is>
      </c>
      <c r="L18" s="127" t="inlineStr">
        <is>
          <t>Company guidance</t>
        </is>
      </c>
    </row>
    <row r="19" ht="42" customHeight="1" s="89">
      <c r="A19" s="152" t="inlineStr">
        <is>
          <t>NKTR</t>
        </is>
      </c>
      <c r="B19" s="153" t="inlineStr">
        <is>
          <t>Nektar Therapeutics</t>
        </is>
      </c>
      <c r="C19" s="154" t="inlineStr">
        <is>
          <t>NKTR-255</t>
        </is>
      </c>
      <c r="D19" s="153" t="inlineStr">
        <is>
          <t>Multiple Tumour Types</t>
        </is>
      </c>
      <c r="E19" s="154" t="inlineStr">
        <is>
          <t>Phase 2 Data</t>
        </is>
      </c>
      <c r="F19" s="154" t="inlineStr">
        <is>
          <t>Q3 2025</t>
        </is>
      </c>
      <c r="G19" s="157" t="inlineStr">
        <is>
          <t>Low</t>
        </is>
      </c>
      <c r="H19" s="153" t="inlineStr">
        <is>
          <t>IL-15 pathway; combo potential with checkpoint inhibitors</t>
        </is>
      </c>
      <c r="I19" s="153" t="inlineStr">
        <is>
          <t>Multiple pipeline failures; cash runway &lt; 4 quarters</t>
        </is>
      </c>
      <c r="J19" s="155" t="n">
        <v>280</v>
      </c>
      <c r="K19" s="154" t="inlineStr">
        <is>
          <t>⭐</t>
        </is>
      </c>
      <c r="L19" s="154" t="inlineStr">
        <is>
          <t>Company guidance</t>
        </is>
      </c>
    </row>
  </sheetData>
  <autoFilter ref="A5:L5"/>
  <mergeCells count="3">
    <mergeCell ref="A3:L3"/>
    <mergeCell ref="A2:L2"/>
    <mergeCell ref="A4:L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tabColor rgb="FF595959"/>
    <outlinePr summaryBelow="1" summaryRight="1"/>
    <pageSetUpPr fitToPage="0"/>
  </sheetPr>
  <dimension ref="B1:C3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outlineLevelCol="0"/>
  <cols>
    <col width="3" customWidth="1" style="88" min="1" max="1"/>
    <col width="28" customWidth="1" style="88" min="2" max="2"/>
    <col width="70" customWidth="1" style="88" min="3" max="3"/>
    <col width="3" customWidth="1" style="88" min="4" max="4"/>
  </cols>
  <sheetData>
    <row r="1" ht="39.75" customHeight="1" s="89">
      <c r="B1" s="158" t="inlineStr">
        <is>
          <t>BIOTECH SCREENER — USER GUIDE &amp; DATA DICTIONARY</t>
        </is>
      </c>
    </row>
    <row r="2" ht="21.75" customHeight="1" s="89">
      <c r="B2" s="159" t="inlineStr">
        <is>
          <t>SHEET OVERVIEW</t>
        </is>
      </c>
      <c r="C2" s="160" t="n"/>
    </row>
    <row r="3" ht="21.75" customHeight="1" s="89">
      <c r="B3" s="161" t="inlineStr">
        <is>
          <t>📊 Screener</t>
        </is>
      </c>
      <c r="C3" s="162" t="inlineStr">
        <is>
          <t>Main interactive view. Use column filter dropdowns (row 6) to screen by any field. Runway Flag auto-colours based on cash position. Sort by any column.</t>
        </is>
      </c>
    </row>
    <row r="4" ht="21.75" customHeight="1" s="89">
      <c r="B4" s="161" t="inlineStr">
        <is>
          <t>🧬 Pipeline DB</t>
        </is>
      </c>
      <c r="C4" s="162" t="inlineStr">
        <is>
          <t>One row per drug programme. Granular pipeline data: modality, MoA, indication, trial ID, partnership details. Add new rows as you track companies.</t>
        </is>
      </c>
    </row>
    <row r="5" ht="21.75" customHeight="1" s="89">
      <c r="B5" s="161" t="inlineStr">
        <is>
          <t>💰 Financials DB</t>
        </is>
      </c>
      <c r="C5" s="162" t="inlineStr">
        <is>
          <t>Company-level financial data sourced from SEC EDGAR 10-Q filings. Update quarterly. Cash runway calculated automatically.</t>
        </is>
      </c>
    </row>
    <row r="6" ht="21.75" customHeight="1" s="89">
      <c r="B6" s="161" t="inlineStr">
        <is>
          <t>📅 Catalyst Cal.</t>
        </is>
      </c>
      <c r="C6" s="162" t="inlineStr">
        <is>
          <t>Near-term binary events ranked by Watch Priority. Bull/Bear case thesis for each catalyst. Sort by Expected Date for time-sensitive screening.</t>
        </is>
      </c>
    </row>
    <row r="7" ht="21.75" customHeight="1" s="89">
      <c r="B7" s="159" t="n"/>
      <c r="C7" s="162" t="n"/>
    </row>
    <row r="8" ht="21.75" customHeight="1" s="89">
      <c r="B8" s="159" t="inlineStr">
        <is>
          <t>KEY FIELDS EXPLAINED</t>
        </is>
      </c>
      <c r="C8" s="160" t="n"/>
    </row>
    <row r="9" ht="21.75" customHeight="1" s="89">
      <c r="B9" s="163" t="inlineStr">
        <is>
          <t>Runway (Qtrs)</t>
        </is>
      </c>
      <c r="C9" s="162" t="inlineStr">
        <is>
          <t>Cash &amp; Equivalents ÷ Quarterly Cash Burn. 🔴 &lt;4Q = elevated financing risk. 🟡 4-8Q = moderate. 🟢 &gt;8Q = well-capitalised. ✅ CF+ = cashflow positive.</t>
        </is>
      </c>
    </row>
    <row r="10" ht="21.75" customHeight="1" s="89">
      <c r="B10" s="163" t="inlineStr">
        <is>
          <t>EV ($M)</t>
        </is>
      </c>
      <c r="C10" s="162" t="inlineStr">
        <is>
          <t>Market Cap - Cash &amp; Equivalents (simplified, no debt adjustment). For cash-heavy pre-revenue biotechs this approximates pipeline value only.</t>
        </is>
      </c>
    </row>
    <row r="11" ht="21.75" customHeight="1" s="89">
      <c r="B11" s="163" t="inlineStr">
        <is>
          <t>Dev Stage</t>
        </is>
      </c>
      <c r="C11" s="162" t="inlineStr">
        <is>
          <t>Phase 1 (safety/dose-finding) → Phase 1/2 → Phase 2 (PoC/dose) → Phase 3 (pivotal) → Approved (NDA/BLA accepted). De-risking = value inflection.</t>
        </is>
      </c>
    </row>
    <row r="12" ht="21.75" customHeight="1" s="89">
      <c r="B12" s="163" t="inlineStr">
        <is>
          <t>Catalyst Type</t>
        </is>
      </c>
      <c r="C12" s="162" t="inlineStr">
        <is>
          <t>Phase 2/3 Data Readout = binary event. NDA Filing/Submission = regulatory. PDUFA = FDA decision date. Commercial Launch = revenue ramp catalyst.</t>
        </is>
      </c>
    </row>
    <row r="13" ht="21.75" customHeight="1" s="89">
      <c r="B13" s="163" t="inlineStr">
        <is>
          <t>Modality</t>
        </is>
      </c>
      <c r="C13" s="162" t="inlineStr">
        <is>
          <t>Small Mol (oral, easy mfg) · mAb (high specificity, parenteral) · ADC (targeted cytotoxic) · Cell Therapy (high cost, curative potential) · Gene Therapy · RNA · Protein/Peptide.</t>
        </is>
      </c>
    </row>
    <row r="14" ht="21.75" customHeight="1" s="89">
      <c r="B14" s="163" t="inlineStr">
        <is>
          <t>Watch Priority</t>
        </is>
      </c>
      <c r="C14" s="162" t="inlineStr">
        <is>
          <t>⭐⭐⭐⭐⭐ = near-term, high-conviction binary. ⭐⭐⭐ = important but longer dated or more uncertain. ⭐⭐ = speculative / micro-cap. ⭐ = monitor only.</t>
        </is>
      </c>
    </row>
    <row r="15" ht="21.75" customHeight="1" s="89">
      <c r="B15" s="159" t="n"/>
      <c r="C15" s="162" t="n"/>
    </row>
    <row r="16" ht="21.75" customHeight="1" s="89">
      <c r="B16" s="159" t="inlineStr">
        <is>
          <t>DATA SOURCES &amp; REFRESH GUIDE</t>
        </is>
      </c>
      <c r="C16" s="160" t="n"/>
    </row>
    <row r="17" ht="21.75" customHeight="1" s="89">
      <c r="B17" s="164" t="inlineStr">
        <is>
          <t>Market Cap / Price</t>
        </is>
      </c>
      <c r="C17" s="162" t="inlineStr">
        <is>
          <t>Update weekly via yFinance (Python) or manual input from Yahoo Finance / Bloomberg. Formula: Mkt Cap = Share Price × Shares Outstanding.</t>
        </is>
      </c>
    </row>
    <row r="18" ht="21.75" customHeight="1" s="89">
      <c r="B18" s="164" t="inlineStr">
        <is>
          <t>Cash &amp; Burn</t>
        </is>
      </c>
      <c r="C18" s="162" t="inlineStr">
        <is>
          <t>Update quarterly from SEC EDGAR 10-Q (Balance Sheet: Cash &amp; equivalents + short-term investments; Cash Flow Statement: Operating cash used).</t>
        </is>
      </c>
    </row>
    <row r="19" ht="21.75" customHeight="1" s="89">
      <c r="B19" s="164" t="inlineStr">
        <is>
          <t>Pipeline Data</t>
        </is>
      </c>
      <c r="C19" s="162" t="inlineStr">
        <is>
          <t>Update from: (1) Company IR 'Pipeline' page. (2) ClinicalTrials.gov (search by sponsor). (3) 10-K annual report pipeline table. Review on earnings dates.</t>
        </is>
      </c>
    </row>
    <row r="20" ht="21.75" customHeight="1" s="89">
      <c r="B20" s="164" t="inlineStr">
        <is>
          <t>Catalyst Dates</t>
        </is>
      </c>
      <c r="C20" s="162" t="inlineStr">
        <is>
          <t>Primary sources: Company earnings call guidance, ClinicalTrials.gov primary completion dates, FDA PDUFA calendar (drugs@fda.gov), BioPharmCatalyst.com.</t>
        </is>
      </c>
    </row>
    <row r="21" ht="21.75" customHeight="1" s="89">
      <c r="B21" s="164" t="inlineStr">
        <is>
          <t>SEC EDGAR API</t>
        </is>
      </c>
      <c r="C21" s="162" t="inlineStr">
        <is>
          <t>Free API: https://efts.sec.gov/LATEST/search-index?q=%22company+name%22&amp;dateRange=custom — pull 10-Q/10-K filings programmatically.</t>
        </is>
      </c>
    </row>
    <row r="22" ht="21.75" customHeight="1" s="89">
      <c r="B22" s="164" t="inlineStr">
        <is>
          <t>ClinTrials API</t>
        </is>
      </c>
      <c r="C22" s="162" t="inlineStr">
        <is>
          <t>Free REST API: https://clinicaltrials.gov/api/v2/studies?query.spons=COMPANY+NAME — returns all registered trials with phase, status, completion date.</t>
        </is>
      </c>
    </row>
    <row r="23" ht="21.75" customHeight="1" s="89">
      <c r="B23" s="159" t="n"/>
      <c r="C23" s="162" t="n"/>
    </row>
    <row r="24" ht="21.75" customHeight="1" s="89">
      <c r="B24" s="159" t="inlineStr">
        <is>
          <t>COLOUR CODING KEY</t>
        </is>
      </c>
      <c r="C24" s="160" t="n"/>
    </row>
    <row r="25" ht="21.75" customHeight="1" s="89">
      <c r="B25" s="164" t="inlineStr">
        <is>
          <t>Blue text</t>
        </is>
      </c>
      <c r="C25" s="162" t="inlineStr">
        <is>
          <t>Hardcoded inputs — values you enter manually (market data, pipeline details).</t>
        </is>
      </c>
    </row>
    <row r="26" ht="21.75" customHeight="1" s="89">
      <c r="B26" s="164" t="inlineStr">
        <is>
          <t>Black text</t>
        </is>
      </c>
      <c r="C26" s="162" t="inlineStr">
        <is>
          <t>Formulas and calculated values — do not overwrite unless updating the formula.</t>
        </is>
      </c>
    </row>
    <row r="27" ht="21.75" customHeight="1" s="89">
      <c r="B27" s="165" t="inlineStr">
        <is>
          <t>🔴 Red Runway</t>
        </is>
      </c>
      <c r="C27" s="162" t="inlineStr">
        <is>
          <t>Cash runway &lt; 4 quarters. Company likely needs to raise capital within 12 months. High dilution / going concern risk.</t>
        </is>
      </c>
    </row>
    <row r="28" ht="21.75" customHeight="1" s="89">
      <c r="B28" s="166" t="inlineStr">
        <is>
          <t>🟡 Amber Runway</t>
        </is>
      </c>
      <c r="C28" s="162" t="inlineStr">
        <is>
          <t>Cash runway 4–8 quarters. Monitor closely. May need to raise capital within 24 months depending on pipeline progress.</t>
        </is>
      </c>
    </row>
    <row r="29" ht="21.75" customHeight="1" s="89">
      <c r="B29" s="167" t="inlineStr">
        <is>
          <t>🟢 Green Runway</t>
        </is>
      </c>
      <c r="C29" s="162" t="inlineStr">
        <is>
          <t>Cash runway &gt; 8 quarters. Well-capitalised. Lower near-term dilution risk; can execute pipeline without immediate financing pressure.</t>
        </is>
      </c>
    </row>
    <row r="30" ht="21.75" customHeight="1" s="89">
      <c r="B30" s="167" t="inlineStr">
        <is>
          <t>✅ CF+</t>
        </is>
      </c>
      <c r="C30" s="162" t="inlineStr">
        <is>
          <t>Company is cashflow positive. Approved / revenue-generating product. No near-term dilution risk from operations.</t>
        </is>
      </c>
    </row>
  </sheetData>
  <mergeCells count="1">
    <mergeCell ref="B1:C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2026-03-14T12:46:53Z</dcterms:created>
  <dcterms:modified xmlns:dcterms="http://purl.org/dc/terms/" xmlns:xsi="http://www.w3.org/2001/XMLSchema-instance" xsi:type="dcterms:W3CDTF">2026-03-15T17:28:27Z</dcterms:modified>
  <cp:revision>0</cp:revision>
</cp:coreProperties>
</file>